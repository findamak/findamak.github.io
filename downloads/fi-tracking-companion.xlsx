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nputs" sheetId="2" state="visible" r:id="rId2"/>
    <sheet name="Plans" sheetId="3" state="visible" r:id="rId3"/>
    <sheet name="Projection" sheetId="4" state="visible" r:id="rId4"/>
    <sheet name="Dashboard" sheetId="5" state="visible" r:id="rId5"/>
  </sheets>
  <definedNames/>
  <calcPr calcId="124519" calcMode="auto" fullCalcOnLoad="1" forceFullCalc="1"/>
</workbook>
</file>

<file path=xl/styles.xml><?xml version="1.0" encoding="utf-8"?>
<styleSheet xmlns="http://schemas.openxmlformats.org/spreadsheetml/2006/main">
  <numFmts count="3">
    <numFmt numFmtId="164" formatCode="$#,##0;[Red]-$#,##0"/>
    <numFmt numFmtId="165" formatCode="mmm yyyy"/>
    <numFmt numFmtId="166" formatCode="0.0"/>
  </numFmts>
  <fonts count="8">
    <font>
      <name val="Calibri"/>
      <family val="2"/>
      <color theme="1"/>
      <sz val="11"/>
      <scheme val="minor"/>
    </font>
    <font>
      <b val="1"/>
      <color rgb="00FFFFFF"/>
      <sz val="20"/>
    </font>
    <font>
      <i val="1"/>
      <color rgb="005B6573"/>
      <sz val="10"/>
    </font>
    <font>
      <b val="1"/>
      <color rgb="00FFFFFF"/>
    </font>
    <font>
      <b val="1"/>
    </font>
    <font>
      <color rgb="001F1F1F"/>
    </font>
    <font>
      <i val="1"/>
      <color rgb="00667085"/>
      <sz val="9"/>
    </font>
    <font>
      <b val="1"/>
      <color rgb="00FFFFFF"/>
      <sz val="16"/>
    </font>
  </fonts>
  <fills count="9">
    <fill>
      <patternFill/>
    </fill>
    <fill>
      <patternFill patternType="gray125"/>
    </fill>
    <fill>
      <patternFill patternType="solid">
        <fgColor rgb="0016283F"/>
      </patternFill>
    </fill>
    <fill>
      <patternFill patternType="solid">
        <fgColor rgb="001F4E78"/>
      </patternFill>
    </fill>
    <fill>
      <patternFill patternType="solid">
        <fgColor rgb="000F766E"/>
      </patternFill>
    </fill>
    <fill>
      <patternFill patternType="solid">
        <fgColor rgb="00F3F6F9"/>
      </patternFill>
    </fill>
    <fill>
      <patternFill patternType="solid">
        <fgColor rgb="00FFF2CC"/>
      </patternFill>
    </fill>
    <fill>
      <patternFill patternType="solid">
        <fgColor rgb="00DDEBF7"/>
      </patternFill>
    </fill>
    <fill>
      <patternFill patternType="solid">
        <fgColor rgb="00FFFFFF"/>
      </patternFill>
    </fill>
  </fills>
  <borders count="3">
    <border>
      <left/>
      <right/>
      <top/>
      <bottom/>
      <diagonal/>
    </border>
    <border>
      <left style="thin">
        <color rgb="00B7C9D6"/>
      </left>
      <right style="thin">
        <color rgb="00B7C9D6"/>
      </right>
      <top style="thin">
        <color rgb="00B7C9D6"/>
      </top>
      <bottom style="thin">
        <color rgb="00B7C9D6"/>
      </bottom>
    </border>
    <border>
      <bottom style="thin">
        <color rgb="00B7C9D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xf>
    <xf numFmtId="0" fontId="3" fillId="4" borderId="1" applyAlignment="1" pivotButton="0" quotePrefix="0" xfId="0">
      <alignment vertical="center" wrapText="1"/>
    </xf>
    <xf numFmtId="0" fontId="0" fillId="0" borderId="1" applyAlignment="1" pivotButton="0" quotePrefix="0" xfId="0">
      <alignment vertical="top" wrapText="1"/>
    </xf>
    <xf numFmtId="0" fontId="0" fillId="5" borderId="2" applyAlignment="1" pivotButton="0" quotePrefix="0" xfId="0">
      <alignment vertical="top" wrapText="1"/>
    </xf>
    <xf numFmtId="0" fontId="4" fillId="0" borderId="0" pivotButton="0" quotePrefix="0" xfId="0"/>
    <xf numFmtId="3" fontId="5" fillId="6" borderId="1" pivotButton="0" quotePrefix="0" xfId="0"/>
    <xf numFmtId="0" fontId="6" fillId="0" borderId="0" applyAlignment="1" pivotButton="0" quotePrefix="0" xfId="0">
      <alignment wrapText="1"/>
    </xf>
    <xf numFmtId="10" fontId="5" fillId="6" borderId="1" pivotButton="0" quotePrefix="0" xfId="0"/>
    <xf numFmtId="0" fontId="5" fillId="6" borderId="1" pivotButton="0" quotePrefix="0" xfId="0"/>
    <xf numFmtId="164" fontId="5" fillId="6" borderId="1" pivotButton="0" quotePrefix="0" xfId="0"/>
    <xf numFmtId="0" fontId="5" fillId="6" borderId="1" applyAlignment="1" pivotButton="0" quotePrefix="0" xfId="0">
      <alignment wrapText="1"/>
    </xf>
    <xf numFmtId="10" fontId="5" fillId="7" borderId="1" pivotButton="0" quotePrefix="0" xfId="0"/>
    <xf numFmtId="164" fontId="5" fillId="7" borderId="1" pivotButton="0" quotePrefix="0" xfId="0"/>
    <xf numFmtId="0" fontId="6" fillId="0" borderId="0" pivotButton="0" quotePrefix="0" xfId="0"/>
    <xf numFmtId="0" fontId="0" fillId="8" borderId="0" pivotButton="0" quotePrefix="0" xfId="0"/>
    <xf numFmtId="164" fontId="5" fillId="6" borderId="1" applyAlignment="1" pivotButton="0" quotePrefix="0" xfId="0">
      <alignment vertical="top" wrapText="1"/>
    </xf>
    <xf numFmtId="164" fontId="5" fillId="7" borderId="1" applyAlignment="1" pivotButton="0" quotePrefix="0" xfId="0">
      <alignment vertical="top" wrapText="1"/>
    </xf>
    <xf numFmtId="3" fontId="5" fillId="7" borderId="1" applyAlignment="1" pivotButton="0" quotePrefix="0" xfId="0">
      <alignment vertical="top" wrapText="1"/>
    </xf>
    <xf numFmtId="10" fontId="5" fillId="7" borderId="1" applyAlignment="1" pivotButton="0" quotePrefix="0" xfId="0">
      <alignment vertical="top" wrapText="1"/>
    </xf>
    <xf numFmtId="0" fontId="5" fillId="7" borderId="1" pivotButton="0" quotePrefix="0" xfId="0"/>
    <xf numFmtId="3" fontId="5" fillId="7" borderId="1" pivotButton="0" quotePrefix="0" xfId="0"/>
    <xf numFmtId="165" fontId="5" fillId="7" borderId="1" pivotButton="0" quotePrefix="0" xfId="0"/>
    <xf numFmtId="166" fontId="5" fillId="7" borderId="1" pivotButton="0" quotePrefix="0" xfId="0"/>
    <xf numFmtId="0" fontId="7" fillId="4" borderId="0" pivotButton="0" quotePrefix="0" xfId="0"/>
  </cellXfs>
  <cellStyles count="1">
    <cellStyle name="Normal" xfId="0" builtinId="0" hidden="0"/>
  </cellStyles>
  <dxfs count="2">
    <dxf>
      <fill>
        <patternFill patternType="solid">
          <fgColor rgb="00FCE4D6"/>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7"/>
  <sheetViews>
    <sheetView showGridLines="0" workbookViewId="0">
      <pane ySplit="4" topLeftCell="A5" activePane="bottomLeft" state="frozen"/>
      <selection pane="bottomLeft" activeCell="A1" sqref="A1"/>
    </sheetView>
  </sheetViews>
  <sheetFormatPr baseColWidth="8" defaultRowHeight="15"/>
  <cols>
    <col width="10" customWidth="1" min="1" max="1"/>
    <col width="26" customWidth="1" min="2" max="2"/>
    <col width="92" customWidth="1" min="3" max="3"/>
    <col width="3" customWidth="1" min="4" max="4"/>
    <col width="3" customWidth="1" min="5" max="5"/>
    <col width="3" customWidth="1" min="6" max="6"/>
    <col width="3" customWidth="1" min="7" max="7"/>
  </cols>
  <sheetData>
    <row r="1" ht="32" customHeight="1">
      <c r="A1" s="1" t="inlineStr">
        <is>
          <t>FI Tracking Companion</t>
        </is>
      </c>
    </row>
    <row r="2" ht="28" customHeight="1">
      <c r="A2" s="2" t="inlineStr">
        <is>
          <t>Spreadsheet companion to the Australian FIRE / FI tracking app. Yellow cells are inputs; blue cells are formulas. All amounts are AUD.</t>
        </is>
      </c>
    </row>
    <row r="4" ht="21" customHeight="1">
      <c r="A4" s="3" t="inlineStr">
        <is>
          <t>How to use it</t>
        </is>
      </c>
    </row>
    <row r="5" ht="32" customHeight="1">
      <c r="A5" s="4" t="inlineStr">
        <is>
          <t>Step</t>
        </is>
      </c>
      <c r="B5" s="4" t="inlineStr">
        <is>
          <t>Action</t>
        </is>
      </c>
      <c r="C5" s="4" t="inlineStr">
        <is>
          <t>What happens</t>
        </is>
      </c>
    </row>
    <row r="6">
      <c r="A6" s="5" t="inlineStr">
        <is>
          <t>1</t>
        </is>
      </c>
      <c r="B6" s="5" t="inlineStr">
        <is>
          <t>Update Inputs</t>
        </is>
      </c>
      <c r="C6" s="5" t="inlineStr">
        <is>
          <t>Enter your latest balances, assumed nominal returns, debts, monthly income and monthly spending. Keep PPOR marked “No” for FI unless you deliberately intend to use it.</t>
        </is>
      </c>
    </row>
    <row r="7">
      <c r="A7" s="5" t="inlineStr">
        <is>
          <t>2</t>
        </is>
      </c>
      <c r="B7" s="5" t="inlineStr">
        <is>
          <t>Set plans</t>
        </is>
      </c>
      <c r="C7" s="5" t="inlineStr">
        <is>
          <t>On Plans, change annual debt-free retirement spending and flexible-work income for each plan. Select one plan on Inputs to drive the projection.</t>
        </is>
      </c>
    </row>
    <row r="8">
      <c r="A8" s="5" t="inlineStr">
        <is>
          <t>3</t>
        </is>
      </c>
      <c r="B8" s="5" t="inlineStr">
        <is>
          <t>Read the result</t>
        </is>
      </c>
      <c r="C8" s="5" t="inlineStr">
        <is>
          <t>Dashboard shows the sustainable FI capital, debt payoff, accessible pre-super bridge and projected FI month. Projection shows the monthly pathway for up to 60 years.</t>
        </is>
      </c>
    </row>
    <row r="9">
      <c r="A9" s="5" t="inlineStr">
        <is>
          <t>4</t>
        </is>
      </c>
      <c r="B9" s="5" t="inlineStr">
        <is>
          <t>Understand the model</t>
        </is>
      </c>
      <c r="C9" s="5" t="inlineStr">
        <is>
          <t>Returns are converted from nominal to real using inflation. Cash interest is displayed in Inputs but deliberately is not added again to monthly contributions because the cash asset already compounds at its total return.</t>
        </is>
      </c>
    </row>
    <row r="11" ht="21" customHeight="1">
      <c r="A11" s="3" t="inlineStr">
        <is>
          <t>Formula rules matched to the app</t>
        </is>
      </c>
    </row>
    <row r="12" ht="34" customHeight="1">
      <c r="A12" s="6" t="inlineStr">
        <is>
          <t>• FI lifestyle capital = MAX(0, annual retirement spending − annual flexible-work income) ÷ withdrawal rate.</t>
        </is>
      </c>
    </row>
    <row r="13" ht="34" customHeight="1">
      <c r="A13" s="6" t="inlineStr">
        <is>
          <t>• Capital required = FI lifestyle capital + every current liability. Debt payoff is a one-off requirement; retirement spending is assumed debt-free.</t>
        </is>
      </c>
    </row>
    <row r="14" ht="34" customHeight="1">
      <c r="A14" s="6" t="inlineStr">
        <is>
          <t>• Accessible bridge reserve uses accessible FI assets only: spending × (1 − (1 + accessible real return)^−bridge years) ÷ accessible real return. If return is 0%, it uses spending × years.</t>
        </is>
      </c>
    </row>
    <row r="15" ht="34" customHeight="1">
      <c r="A15" s="6" t="inlineStr">
        <is>
          <t>• FI is reached only when total FI assets meet capital required AND accessible FI assets meet bridge reserve + debt payoff.</t>
        </is>
      </c>
    </row>
    <row r="16" ht="34" customHeight="1">
      <c r="A16" s="6" t="inlineStr">
        <is>
          <t>• Monthly projection uses real returns. External monthly contribution = manual monthly income − manual spending − liability interest. A deficit remains negative; it is not clamped to zero.</t>
        </is>
      </c>
    </row>
    <row r="17" ht="34" customHeight="1">
      <c r="A17" s="6" t="inlineStr">
        <is>
          <t>• This is a planning model, not financial, tax or legal advice. It excludes tax, CGT, buying/selling costs, vacancy, repayments, insurance and transaction costs unless you enter them in spending.</t>
        </is>
      </c>
    </row>
  </sheetData>
  <mergeCells count="10">
    <mergeCell ref="A13:G13"/>
    <mergeCell ref="A14:G14"/>
    <mergeCell ref="A1:G1"/>
    <mergeCell ref="A17:G17"/>
    <mergeCell ref="A12:G12"/>
    <mergeCell ref="A4:G4"/>
    <mergeCell ref="A2:G2"/>
    <mergeCell ref="A16:G16"/>
    <mergeCell ref="A15:G15"/>
    <mergeCell ref="A11:G11"/>
  </mergeCell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73"/>
  <sheetViews>
    <sheetView showGridLines="0" workbookViewId="0">
      <pane ySplit="13" topLeftCell="A14" activePane="bottomLeft" state="frozen"/>
      <selection pane="bottomLeft" activeCell="A1" sqref="A1"/>
    </sheetView>
  </sheetViews>
  <sheetFormatPr baseColWidth="8" defaultRowHeight="15"/>
  <cols>
    <col width="26" customWidth="1" min="1" max="1"/>
    <col width="18" customWidth="1" min="2" max="2"/>
    <col width="20" customWidth="1" min="3" max="3"/>
    <col width="16" customWidth="1" min="4" max="4"/>
    <col width="21" customWidth="1" min="5" max="5"/>
    <col width="24" customWidth="1" min="6" max="6"/>
    <col width="16" customWidth="1" min="7" max="7"/>
  </cols>
  <sheetData>
    <row r="1" ht="32" customHeight="1">
      <c r="A1" s="1" t="inlineStr">
        <is>
          <t>Inputs</t>
        </is>
      </c>
    </row>
    <row r="2" ht="28" customHeight="1">
      <c r="A2" s="2" t="inlineStr">
        <is>
          <t>Yellow cells are editable. Defaults match the current FI tracking app profile and supplied planning assumptions.</t>
        </is>
      </c>
    </row>
    <row r="4" ht="21" customHeight="1">
      <c r="A4" s="3" t="inlineStr">
        <is>
          <t>Profile and active projection plan</t>
        </is>
      </c>
    </row>
    <row r="5">
      <c r="A5" s="7" t="inlineStr">
        <is>
          <t>Current age</t>
        </is>
      </c>
      <c r="B5" s="8" t="n">
        <v>50</v>
      </c>
      <c r="C5" s="9" t="inlineStr">
        <is>
          <t>Age today.</t>
        </is>
      </c>
    </row>
    <row r="6">
      <c r="A6" s="7" t="inlineStr">
        <is>
          <t>FI / full-time work end age</t>
        </is>
      </c>
      <c r="B6" s="8" t="n">
        <v>55</v>
      </c>
      <c r="C6" s="9" t="inlineStr">
        <is>
          <t>Target age to stop full-time work.</t>
        </is>
      </c>
    </row>
    <row r="7">
      <c r="A7" s="7" t="inlineStr">
        <is>
          <t>Super access age</t>
        </is>
      </c>
      <c r="B7" s="8" t="n">
        <v>60</v>
      </c>
      <c r="C7" s="9" t="inlineStr">
        <is>
          <t>Age accessible super/SMSF is assumed available.</t>
        </is>
      </c>
    </row>
    <row r="8">
      <c r="A8" s="7" t="inlineStr">
        <is>
          <t>Withdrawal rate</t>
        </is>
      </c>
      <c r="B8" s="10" t="n">
        <v>0.035</v>
      </c>
      <c r="C8" s="9" t="inlineStr">
        <is>
          <t>Sustainable withdrawal rate used for lifestyle capital.</t>
        </is>
      </c>
    </row>
    <row r="9">
      <c r="A9" s="7" t="inlineStr">
        <is>
          <t>Inflation rate</t>
        </is>
      </c>
      <c r="B9" s="10" t="n">
        <v>0.025</v>
      </c>
      <c r="C9" s="9" t="inlineStr">
        <is>
          <t>Used to convert nominal asset returns to real returns.</t>
        </is>
      </c>
    </row>
    <row r="10">
      <c r="A10" s="7" t="inlineStr">
        <is>
          <t>Active plan for projection</t>
        </is>
      </c>
      <c r="B10" s="11" t="inlineStr">
        <is>
          <t>Full FI plan</t>
        </is>
      </c>
      <c r="C10" s="9" t="inlineStr">
        <is>
          <t>Choose a plan from the Plans sheet.</t>
        </is>
      </c>
    </row>
    <row r="13" ht="21" customHeight="1">
      <c r="A13" s="3" t="inlineStr">
        <is>
          <t>Assets</t>
        </is>
      </c>
    </row>
    <row r="14" ht="32" customHeight="1">
      <c r="A14" s="4" t="inlineStr">
        <is>
          <t>Asset</t>
        </is>
      </c>
      <c r="B14" s="4" t="inlineStr">
        <is>
          <t>Current balance</t>
        </is>
      </c>
      <c r="C14" s="4" t="inlineStr">
        <is>
          <t>Nominal annual total return</t>
        </is>
      </c>
      <c r="D14" s="4" t="inlineStr">
        <is>
          <t>Include in FI?</t>
        </is>
      </c>
      <c r="E14" s="4" t="inlineStr">
        <is>
          <t>Accessible before super?</t>
        </is>
      </c>
      <c r="F14" s="4" t="inlineStr">
        <is>
          <t>Type / notes</t>
        </is>
      </c>
      <c r="G14" s="4" t="inlineStr">
        <is>
          <t>Real return</t>
        </is>
      </c>
    </row>
    <row r="15">
      <c r="A15" s="11" t="inlineStr">
        <is>
          <t>Cash &amp; savings</t>
        </is>
      </c>
      <c r="B15" s="12" t="n">
        <v>15000</v>
      </c>
      <c r="C15" s="10" t="n">
        <v>0.0663</v>
      </c>
      <c r="D15" s="11" t="inlineStr">
        <is>
          <t>Yes</t>
        </is>
      </c>
      <c r="E15" s="11" t="inlineStr">
        <is>
          <t>Yes</t>
        </is>
      </c>
      <c r="F15" s="13" t="inlineStr">
        <is>
          <t>Cash</t>
        </is>
      </c>
      <c r="G15" s="14">
        <f>IFERROR((1+C15)/(1+$B$9)-1,0)</f>
        <v/>
      </c>
    </row>
    <row r="16">
      <c r="A16" s="11" t="inlineStr">
        <is>
          <t>Super</t>
        </is>
      </c>
      <c r="B16" s="12" t="n">
        <v>461683</v>
      </c>
      <c r="C16" s="10" t="n">
        <v>0.075</v>
      </c>
      <c r="D16" s="11" t="inlineStr">
        <is>
          <t>Yes</t>
        </is>
      </c>
      <c r="E16" s="11" t="inlineStr">
        <is>
          <t>No</t>
        </is>
      </c>
      <c r="F16" s="13" t="inlineStr">
        <is>
          <t>Superannuation</t>
        </is>
      </c>
      <c r="G16" s="14">
        <f>IFERROR((1+C16)/(1+$B$9)-1,0)</f>
        <v/>
      </c>
    </row>
    <row r="17">
      <c r="A17" s="11" t="inlineStr">
        <is>
          <t>ETFs</t>
        </is>
      </c>
      <c r="B17" s="12" t="n">
        <v>7021017</v>
      </c>
      <c r="C17" s="10" t="n">
        <v>0.2</v>
      </c>
      <c r="D17" s="11" t="inlineStr">
        <is>
          <t>Yes</t>
        </is>
      </c>
      <c r="E17" s="11" t="inlineStr">
        <is>
          <t>Yes</t>
        </is>
      </c>
      <c r="F17" s="13" t="inlineStr">
        <is>
          <t>Investment</t>
        </is>
      </c>
      <c r="G17" s="14">
        <f>IFERROR((1+C17)/(1+$B$9)-1,0)</f>
        <v/>
      </c>
    </row>
    <row r="18">
      <c r="A18" s="11" t="inlineStr">
        <is>
          <t>Direct shares</t>
        </is>
      </c>
      <c r="B18" s="12" t="n">
        <v>335753</v>
      </c>
      <c r="C18" s="10" t="n">
        <v>0.07000000000000001</v>
      </c>
      <c r="D18" s="11" t="inlineStr">
        <is>
          <t>Yes</t>
        </is>
      </c>
      <c r="E18" s="11" t="inlineStr">
        <is>
          <t>Yes</t>
        </is>
      </c>
      <c r="F18" s="13" t="inlineStr">
        <is>
          <t>Investment</t>
        </is>
      </c>
      <c r="G18" s="14">
        <f>IFERROR((1+C18)/(1+$B$9)-1,0)</f>
        <v/>
      </c>
    </row>
    <row r="19">
      <c r="A19" s="11" t="inlineStr">
        <is>
          <t>Primary residence</t>
        </is>
      </c>
      <c r="B19" s="12" t="n">
        <v>2790000</v>
      </c>
      <c r="C19" s="10" t="n">
        <v>0.07000000000000001</v>
      </c>
      <c r="D19" s="11" t="inlineStr">
        <is>
          <t>No</t>
        </is>
      </c>
      <c r="E19" s="11" t="inlineStr">
        <is>
          <t>No</t>
        </is>
      </c>
      <c r="F19" s="13" t="inlineStr">
        <is>
          <t>Primary residence</t>
        </is>
      </c>
      <c r="G19" s="14">
        <f>IFERROR((1+C19)/(1+$B$9)-1,0)</f>
        <v/>
      </c>
    </row>
    <row r="20">
      <c r="A20" s="11" t="inlineStr">
        <is>
          <t>Investment property</t>
        </is>
      </c>
      <c r="B20" s="12" t="n">
        <v>2410000</v>
      </c>
      <c r="C20" s="10" t="n">
        <v>0.07000000000000001</v>
      </c>
      <c r="D20" s="11" t="inlineStr">
        <is>
          <t>Yes</t>
        </is>
      </c>
      <c r="E20" s="11" t="inlineStr">
        <is>
          <t>Yes</t>
        </is>
      </c>
      <c r="F20" s="13" t="inlineStr">
        <is>
          <t>Investment property</t>
        </is>
      </c>
      <c r="G20" s="14">
        <f>IFERROR((1+C20)/(1+$B$9)-1,0)</f>
        <v/>
      </c>
    </row>
    <row r="21">
      <c r="A21" s="11" t="inlineStr">
        <is>
          <t>SMSF</t>
        </is>
      </c>
      <c r="B21" s="12" t="n">
        <v>69239</v>
      </c>
      <c r="C21" s="10" t="n">
        <v>0.07000000000000001</v>
      </c>
      <c r="D21" s="11" t="inlineStr">
        <is>
          <t>Yes</t>
        </is>
      </c>
      <c r="E21" s="11" t="inlineStr">
        <is>
          <t>No</t>
        </is>
      </c>
      <c r="F21" s="13" t="inlineStr">
        <is>
          <t>Superannuation</t>
        </is>
      </c>
      <c r="G21" s="14">
        <f>IFERROR((1+C21)/(1+$B$9)-1,0)</f>
        <v/>
      </c>
    </row>
    <row r="22">
      <c r="A22" s="11" t="inlineStr"/>
      <c r="B22" s="12" t="n">
        <v>0</v>
      </c>
      <c r="C22" s="10" t="n">
        <v>0</v>
      </c>
      <c r="D22" s="11" t="inlineStr">
        <is>
          <t>No</t>
        </is>
      </c>
      <c r="E22" s="11" t="inlineStr">
        <is>
          <t>No</t>
        </is>
      </c>
      <c r="F22" s="13" t="inlineStr"/>
      <c r="G22" s="14">
        <f>IFERROR((1+C22)/(1+$B$9)-1,0)</f>
        <v/>
      </c>
    </row>
    <row r="23">
      <c r="A23" s="11" t="inlineStr"/>
      <c r="B23" s="12" t="n">
        <v>0</v>
      </c>
      <c r="C23" s="10" t="n">
        <v>0</v>
      </c>
      <c r="D23" s="11" t="inlineStr">
        <is>
          <t>No</t>
        </is>
      </c>
      <c r="E23" s="11" t="inlineStr">
        <is>
          <t>No</t>
        </is>
      </c>
      <c r="F23" s="13" t="inlineStr"/>
      <c r="G23" s="14">
        <f>IFERROR((1+C23)/(1+$B$9)-1,0)</f>
        <v/>
      </c>
    </row>
    <row r="24">
      <c r="A24" s="11" t="inlineStr"/>
      <c r="B24" s="12" t="n">
        <v>0</v>
      </c>
      <c r="C24" s="10" t="n">
        <v>0</v>
      </c>
      <c r="D24" s="11" t="inlineStr">
        <is>
          <t>No</t>
        </is>
      </c>
      <c r="E24" s="11" t="inlineStr">
        <is>
          <t>No</t>
        </is>
      </c>
      <c r="F24" s="13" t="inlineStr"/>
      <c r="G24" s="14">
        <f>IFERROR((1+C24)/(1+$B$9)-1,0)</f>
        <v/>
      </c>
    </row>
    <row r="25">
      <c r="A25" s="11" t="inlineStr"/>
      <c r="B25" s="12" t="n">
        <v>0</v>
      </c>
      <c r="C25" s="10" t="n">
        <v>0</v>
      </c>
      <c r="D25" s="11" t="inlineStr">
        <is>
          <t>No</t>
        </is>
      </c>
      <c r="E25" s="11" t="inlineStr">
        <is>
          <t>No</t>
        </is>
      </c>
      <c r="F25" s="13" t="inlineStr"/>
      <c r="G25" s="14">
        <f>IFERROR((1+C25)/(1+$B$9)-1,0)</f>
        <v/>
      </c>
    </row>
    <row r="26">
      <c r="A26" s="11" t="inlineStr"/>
      <c r="B26" s="12" t="n">
        <v>0</v>
      </c>
      <c r="C26" s="10" t="n">
        <v>0</v>
      </c>
      <c r="D26" s="11" t="inlineStr">
        <is>
          <t>No</t>
        </is>
      </c>
      <c r="E26" s="11" t="inlineStr">
        <is>
          <t>No</t>
        </is>
      </c>
      <c r="F26" s="13" t="inlineStr"/>
      <c r="G26" s="14">
        <f>IFERROR((1+C26)/(1+$B$9)-1,0)</f>
        <v/>
      </c>
    </row>
    <row r="27">
      <c r="A27" s="11" t="inlineStr"/>
      <c r="B27" s="12" t="n">
        <v>0</v>
      </c>
      <c r="C27" s="10" t="n">
        <v>0</v>
      </c>
      <c r="D27" s="11" t="inlineStr">
        <is>
          <t>No</t>
        </is>
      </c>
      <c r="E27" s="11" t="inlineStr">
        <is>
          <t>No</t>
        </is>
      </c>
      <c r="F27" s="13" t="inlineStr"/>
      <c r="G27" s="14">
        <f>IFERROR((1+C27)/(1+$B$9)-1,0)</f>
        <v/>
      </c>
    </row>
    <row r="28">
      <c r="A28" s="11" t="inlineStr"/>
      <c r="B28" s="12" t="n">
        <v>0</v>
      </c>
      <c r="C28" s="10" t="n">
        <v>0</v>
      </c>
      <c r="D28" s="11" t="inlineStr">
        <is>
          <t>No</t>
        </is>
      </c>
      <c r="E28" s="11" t="inlineStr">
        <is>
          <t>No</t>
        </is>
      </c>
      <c r="F28" s="13" t="inlineStr"/>
      <c r="G28" s="14">
        <f>IFERROR((1+C28)/(1+$B$9)-1,0)</f>
        <v/>
      </c>
    </row>
    <row r="29">
      <c r="A29" s="11" t="inlineStr"/>
      <c r="B29" s="12" t="n">
        <v>0</v>
      </c>
      <c r="C29" s="10" t="n">
        <v>0</v>
      </c>
      <c r="D29" s="11" t="inlineStr">
        <is>
          <t>No</t>
        </is>
      </c>
      <c r="E29" s="11" t="inlineStr">
        <is>
          <t>No</t>
        </is>
      </c>
      <c r="F29" s="13" t="inlineStr"/>
      <c r="G29" s="14">
        <f>IFERROR((1+C29)/(1+$B$9)-1,0)</f>
        <v/>
      </c>
    </row>
    <row r="30">
      <c r="A30" s="11" t="inlineStr"/>
      <c r="B30" s="12" t="n">
        <v>0</v>
      </c>
      <c r="C30" s="10" t="n">
        <v>0</v>
      </c>
      <c r="D30" s="11" t="inlineStr">
        <is>
          <t>No</t>
        </is>
      </c>
      <c r="E30" s="11" t="inlineStr">
        <is>
          <t>No</t>
        </is>
      </c>
      <c r="F30" s="13" t="inlineStr"/>
      <c r="G30" s="14">
        <f>IFERROR((1+C30)/(1+$B$9)-1,0)</f>
        <v/>
      </c>
    </row>
    <row r="31">
      <c r="A31" s="11" t="inlineStr"/>
      <c r="B31" s="12" t="n">
        <v>0</v>
      </c>
      <c r="C31" s="10" t="n">
        <v>0</v>
      </c>
      <c r="D31" s="11" t="inlineStr">
        <is>
          <t>No</t>
        </is>
      </c>
      <c r="E31" s="11" t="inlineStr">
        <is>
          <t>No</t>
        </is>
      </c>
      <c r="F31" s="13" t="inlineStr"/>
      <c r="G31" s="14">
        <f>IFERROR((1+C31)/(1+$B$9)-1,0)</f>
        <v/>
      </c>
    </row>
    <row r="32">
      <c r="A32" s="11" t="inlineStr"/>
      <c r="B32" s="12" t="n">
        <v>0</v>
      </c>
      <c r="C32" s="10" t="n">
        <v>0</v>
      </c>
      <c r="D32" s="11" t="inlineStr">
        <is>
          <t>No</t>
        </is>
      </c>
      <c r="E32" s="11" t="inlineStr">
        <is>
          <t>No</t>
        </is>
      </c>
      <c r="F32" s="13" t="inlineStr"/>
      <c r="G32" s="14">
        <f>IFERROR((1+C32)/(1+$B$9)-1,0)</f>
        <v/>
      </c>
    </row>
    <row r="33">
      <c r="A33" s="11" t="inlineStr"/>
      <c r="B33" s="12" t="n">
        <v>0</v>
      </c>
      <c r="C33" s="10" t="n">
        <v>0</v>
      </c>
      <c r="D33" s="11" t="inlineStr">
        <is>
          <t>No</t>
        </is>
      </c>
      <c r="E33" s="11" t="inlineStr">
        <is>
          <t>No</t>
        </is>
      </c>
      <c r="F33" s="13" t="inlineStr"/>
      <c r="G33" s="14">
        <f>IFERROR((1+C33)/(1+$B$9)-1,0)</f>
        <v/>
      </c>
    </row>
    <row r="34">
      <c r="A34" s="11" t="inlineStr"/>
      <c r="B34" s="12" t="n">
        <v>0</v>
      </c>
      <c r="C34" s="10" t="n">
        <v>0</v>
      </c>
      <c r="D34" s="11" t="inlineStr">
        <is>
          <t>No</t>
        </is>
      </c>
      <c r="E34" s="11" t="inlineStr">
        <is>
          <t>No</t>
        </is>
      </c>
      <c r="F34" s="13" t="inlineStr"/>
      <c r="G34" s="14">
        <f>IFERROR((1+C34)/(1+$B$9)-1,0)</f>
        <v/>
      </c>
    </row>
    <row r="37" ht="21" customHeight="1">
      <c r="A37" s="3" t="inlineStr">
        <is>
          <t>Liabilities — all included as debt payoff capital</t>
        </is>
      </c>
    </row>
    <row r="38" ht="32" customHeight="1">
      <c r="A38" s="4" t="inlineStr">
        <is>
          <t>Liability</t>
        </is>
      </c>
      <c r="B38" s="4" t="inlineStr">
        <is>
          <t>Current balance</t>
        </is>
      </c>
      <c r="C38" s="4" t="inlineStr">
        <is>
          <t>Annual interest rate</t>
        </is>
      </c>
      <c r="D38" s="4" t="inlineStr">
        <is>
          <t>Linked asset / notes</t>
        </is>
      </c>
      <c r="E38" s="4" t="inlineStr">
        <is>
          <t>Monthly interest</t>
        </is>
      </c>
      <c r="F38" s="4" t="inlineStr"/>
      <c r="G38" s="4" t="inlineStr"/>
    </row>
    <row r="39">
      <c r="A39" s="11" t="inlineStr">
        <is>
          <t>Chatswood loan</t>
        </is>
      </c>
      <c r="B39" s="12" t="n">
        <v>505000</v>
      </c>
      <c r="C39" s="10" t="n">
        <v>0.0599</v>
      </c>
      <c r="D39" s="11" t="inlineStr">
        <is>
          <t>Primary residence</t>
        </is>
      </c>
      <c r="E39" s="15">
        <f>B39*C39/12</f>
        <v/>
      </c>
    </row>
    <row r="40">
      <c r="A40" s="11" t="inlineStr">
        <is>
          <t>Wahroonga loan</t>
        </is>
      </c>
      <c r="B40" s="12" t="n">
        <v>1660000</v>
      </c>
      <c r="C40" s="10" t="n">
        <v>0.0663</v>
      </c>
      <c r="D40" s="11" t="inlineStr">
        <is>
          <t>Investment property</t>
        </is>
      </c>
      <c r="E40" s="15">
        <f>B40*C40/12</f>
        <v/>
      </c>
    </row>
    <row r="41">
      <c r="A41" s="11" t="inlineStr">
        <is>
          <t>Family loan</t>
        </is>
      </c>
      <c r="B41" s="12" t="n">
        <v>24000</v>
      </c>
      <c r="C41" s="10" t="n">
        <v>0</v>
      </c>
      <c r="D41" s="11" t="inlineStr">
        <is>
          <t>Unlinked</t>
        </is>
      </c>
      <c r="E41" s="15">
        <f>B41*C41/12</f>
        <v/>
      </c>
    </row>
    <row r="42">
      <c r="A42" s="11" t="inlineStr">
        <is>
          <t>Line of credit</t>
        </is>
      </c>
      <c r="B42" s="12" t="n">
        <v>0</v>
      </c>
      <c r="C42" s="10" t="n">
        <v>0.08459999999999999</v>
      </c>
      <c r="D42" s="11" t="inlineStr">
        <is>
          <t>Unlinked</t>
        </is>
      </c>
      <c r="E42" s="15">
        <f>B42*C42/12</f>
        <v/>
      </c>
    </row>
    <row r="43">
      <c r="A43" s="11" t="inlineStr">
        <is>
          <t>Credit card debt</t>
        </is>
      </c>
      <c r="B43" s="12" t="n">
        <v>0</v>
      </c>
      <c r="C43" s="10" t="n">
        <v>0.08</v>
      </c>
      <c r="D43" s="11" t="inlineStr">
        <is>
          <t>Unlinked</t>
        </is>
      </c>
      <c r="E43" s="15">
        <f>B43*C43/12</f>
        <v/>
      </c>
    </row>
    <row r="44">
      <c r="A44" s="11" t="inlineStr"/>
      <c r="B44" s="12" t="n">
        <v>0</v>
      </c>
      <c r="C44" s="10" t="n">
        <v>0</v>
      </c>
      <c r="D44" s="11" t="inlineStr"/>
      <c r="E44" s="15">
        <f>B44*C44/12</f>
        <v/>
      </c>
    </row>
    <row r="45">
      <c r="A45" s="11" t="inlineStr"/>
      <c r="B45" s="12" t="n">
        <v>0</v>
      </c>
      <c r="C45" s="10" t="n">
        <v>0</v>
      </c>
      <c r="D45" s="11" t="inlineStr"/>
      <c r="E45" s="15">
        <f>B45*C45/12</f>
        <v/>
      </c>
    </row>
    <row r="46">
      <c r="A46" s="11" t="inlineStr"/>
      <c r="B46" s="12" t="n">
        <v>0</v>
      </c>
      <c r="C46" s="10" t="n">
        <v>0</v>
      </c>
      <c r="D46" s="11" t="inlineStr"/>
      <c r="E46" s="15">
        <f>B46*C46/12</f>
        <v/>
      </c>
    </row>
    <row r="47">
      <c r="A47" s="11" t="inlineStr"/>
      <c r="B47" s="12" t="n">
        <v>0</v>
      </c>
      <c r="C47" s="10" t="n">
        <v>0</v>
      </c>
      <c r="D47" s="11" t="inlineStr"/>
      <c r="E47" s="15">
        <f>B47*C47/12</f>
        <v/>
      </c>
    </row>
    <row r="48">
      <c r="A48" s="11" t="inlineStr"/>
      <c r="B48" s="12" t="n">
        <v>0</v>
      </c>
      <c r="C48" s="10" t="n">
        <v>0</v>
      </c>
      <c r="D48" s="11" t="inlineStr"/>
      <c r="E48" s="15">
        <f>B48*C48/12</f>
        <v/>
      </c>
    </row>
    <row r="49">
      <c r="A49" s="11" t="inlineStr"/>
      <c r="B49" s="12" t="n">
        <v>0</v>
      </c>
      <c r="C49" s="10" t="n">
        <v>0</v>
      </c>
      <c r="D49" s="11" t="inlineStr"/>
      <c r="E49" s="15">
        <f>B49*C49/12</f>
        <v/>
      </c>
    </row>
    <row r="50">
      <c r="A50" s="11" t="inlineStr"/>
      <c r="B50" s="12" t="n">
        <v>0</v>
      </c>
      <c r="C50" s="10" t="n">
        <v>0</v>
      </c>
      <c r="D50" s="11" t="inlineStr"/>
      <c r="E50" s="15">
        <f>B50*C50/12</f>
        <v/>
      </c>
    </row>
    <row r="51">
      <c r="A51" s="11" t="inlineStr"/>
      <c r="B51" s="12" t="n">
        <v>0</v>
      </c>
      <c r="C51" s="10" t="n">
        <v>0</v>
      </c>
      <c r="D51" s="11" t="inlineStr"/>
      <c r="E51" s="15">
        <f>B51*C51/12</f>
        <v/>
      </c>
    </row>
    <row r="52">
      <c r="A52" s="11" t="inlineStr"/>
      <c r="B52" s="12" t="n">
        <v>0</v>
      </c>
      <c r="C52" s="10" t="n">
        <v>0</v>
      </c>
      <c r="D52" s="11" t="inlineStr"/>
      <c r="E52" s="15">
        <f>B52*C52/12</f>
        <v/>
      </c>
    </row>
    <row r="53">
      <c r="A53" s="11" t="inlineStr"/>
      <c r="B53" s="12" t="n">
        <v>0</v>
      </c>
      <c r="C53" s="10" t="n">
        <v>0</v>
      </c>
      <c r="D53" s="11" t="inlineStr"/>
      <c r="E53" s="15">
        <f>B53*C53/12</f>
        <v/>
      </c>
    </row>
    <row r="56" ht="21" customHeight="1">
      <c r="A56" s="3" t="inlineStr">
        <is>
          <t>Monthly cash flow</t>
        </is>
      </c>
    </row>
    <row r="57">
      <c r="A57" s="16" t="inlineStr">
        <is>
          <t>Manual income is used in the projection. Estimated cash interest is shown for reconciliation only, because it is already included in the cash asset’s total return.</t>
        </is>
      </c>
    </row>
    <row r="58" ht="32" customHeight="1">
      <c r="A58" s="4" t="inlineStr">
        <is>
          <t>Income source</t>
        </is>
      </c>
      <c r="B58" s="4" t="inlineStr">
        <is>
          <t>Monthly amount</t>
        </is>
      </c>
      <c r="C58" s="4" t="inlineStr"/>
      <c r="D58" s="4" t="inlineStr">
        <is>
          <t>Spending category</t>
        </is>
      </c>
      <c r="E58" s="4" t="inlineStr">
        <is>
          <t>Monthly amount</t>
        </is>
      </c>
      <c r="F58" s="4" t="inlineStr"/>
      <c r="G58" s="4" t="inlineStr"/>
    </row>
    <row r="59">
      <c r="A59" s="11" t="inlineStr">
        <is>
          <t>Current income</t>
        </is>
      </c>
      <c r="B59" s="12" t="n">
        <v>15695</v>
      </c>
      <c r="C59" s="17" t="n"/>
      <c r="D59" s="11" t="inlineStr">
        <is>
          <t>Current spending</t>
        </is>
      </c>
      <c r="E59" s="12" t="n">
        <v>5584</v>
      </c>
      <c r="F59" s="17" t="n"/>
      <c r="G59" s="17" t="n"/>
    </row>
    <row r="60">
      <c r="A60" s="11" t="inlineStr"/>
      <c r="B60" s="12" t="n">
        <v>0</v>
      </c>
      <c r="C60" s="17" t="n"/>
      <c r="D60" s="11" t="inlineStr"/>
      <c r="E60" s="12" t="n">
        <v>0</v>
      </c>
      <c r="F60" s="17" t="n"/>
      <c r="G60" s="17" t="n"/>
    </row>
    <row r="61">
      <c r="A61" s="11" t="inlineStr"/>
      <c r="B61" s="12" t="n">
        <v>0</v>
      </c>
      <c r="C61" s="17" t="n"/>
      <c r="D61" s="11" t="inlineStr"/>
      <c r="E61" s="12" t="n">
        <v>0</v>
      </c>
      <c r="F61" s="17" t="n"/>
      <c r="G61" s="17" t="n"/>
    </row>
    <row r="62">
      <c r="A62" s="11" t="inlineStr"/>
      <c r="B62" s="12" t="n">
        <v>0</v>
      </c>
      <c r="C62" s="17" t="n"/>
      <c r="D62" s="11" t="inlineStr"/>
      <c r="E62" s="12" t="n">
        <v>0</v>
      </c>
      <c r="F62" s="17" t="n"/>
      <c r="G62" s="17" t="n"/>
    </row>
    <row r="63">
      <c r="A63" s="11" t="inlineStr"/>
      <c r="B63" s="12" t="n">
        <v>0</v>
      </c>
      <c r="C63" s="17" t="n"/>
      <c r="D63" s="11" t="inlineStr"/>
      <c r="E63" s="12" t="n">
        <v>0</v>
      </c>
      <c r="F63" s="17" t="n"/>
      <c r="G63" s="17" t="n"/>
    </row>
    <row r="64">
      <c r="A64" s="11" t="inlineStr"/>
      <c r="B64" s="12" t="n">
        <v>0</v>
      </c>
      <c r="C64" s="17" t="n"/>
      <c r="D64" s="11" t="inlineStr"/>
      <c r="E64" s="12" t="n">
        <v>0</v>
      </c>
      <c r="F64" s="17" t="n"/>
      <c r="G64" s="17" t="n"/>
    </row>
    <row r="65">
      <c r="A65" s="11" t="inlineStr"/>
      <c r="B65" s="12" t="n">
        <v>0</v>
      </c>
      <c r="C65" s="17" t="n"/>
      <c r="D65" s="11" t="inlineStr"/>
      <c r="E65" s="12" t="n">
        <v>0</v>
      </c>
      <c r="F65" s="17" t="n"/>
      <c r="G65" s="17" t="n"/>
    </row>
    <row r="66">
      <c r="A66" s="11" t="inlineStr"/>
      <c r="B66" s="12" t="n">
        <v>0</v>
      </c>
      <c r="C66" s="17" t="n"/>
      <c r="D66" s="11" t="inlineStr"/>
      <c r="E66" s="12" t="n">
        <v>0</v>
      </c>
      <c r="F66" s="17" t="n"/>
      <c r="G66" s="17" t="n"/>
    </row>
    <row r="67">
      <c r="A67" s="11" t="inlineStr"/>
      <c r="B67" s="12" t="n">
        <v>0</v>
      </c>
      <c r="C67" s="17" t="n"/>
      <c r="D67" s="11" t="inlineStr"/>
      <c r="E67" s="12" t="n">
        <v>0</v>
      </c>
      <c r="F67" s="17" t="n"/>
      <c r="G67" s="17" t="n"/>
    </row>
    <row r="68">
      <c r="A68" s="11" t="inlineStr"/>
      <c r="B68" s="12" t="n">
        <v>0</v>
      </c>
      <c r="C68" s="17" t="n"/>
      <c r="D68" s="11" t="inlineStr"/>
      <c r="E68" s="12" t="n">
        <v>0</v>
      </c>
      <c r="F68" s="17" t="n"/>
      <c r="G68" s="17" t="n"/>
    </row>
    <row r="70">
      <c r="A70" s="7" t="inlineStr">
        <is>
          <t>Manual monthly income</t>
        </is>
      </c>
      <c r="B70" s="15">
        <f>SUM(B59:B68)</f>
        <v/>
      </c>
      <c r="D70" s="7" t="inlineStr">
        <is>
          <t>Manual monthly spending</t>
        </is>
      </c>
      <c r="E70" s="15">
        <f>SUM(E59:E68)</f>
        <v/>
      </c>
    </row>
    <row r="71">
      <c r="A71" s="7" t="inlineStr">
        <is>
          <t>Estimated cash interest</t>
        </is>
      </c>
      <c r="B71" s="15">
        <f>SUMPRODUCT((D15:D34="Yes")*(F15:F34="Cash")*B15:B34*C15:C34/12)</f>
        <v/>
      </c>
      <c r="D71" s="7" t="inlineStr">
        <is>
          <t>Liability interest</t>
        </is>
      </c>
      <c r="E71" s="15">
        <f>SUM(E39:E53)</f>
        <v/>
      </c>
    </row>
    <row r="72">
      <c r="A72" s="7" t="inlineStr">
        <is>
          <t>Displayed monthly surplus</t>
        </is>
      </c>
      <c r="B72" s="15">
        <f>B70+B71-E70-E71</f>
        <v/>
      </c>
      <c r="D72" s="7" t="inlineStr">
        <is>
          <t>External monthly contribution</t>
        </is>
      </c>
      <c r="E72" s="15">
        <f>B70-E70-E71</f>
        <v/>
      </c>
    </row>
    <row r="73">
      <c r="A73" s="16" t="inlineStr">
        <is>
          <t>External monthly contribution intentionally excludes estimated cash interest to avoid double-counting an asset total return.</t>
        </is>
      </c>
    </row>
  </sheetData>
  <mergeCells count="14">
    <mergeCell ref="A13:G13"/>
    <mergeCell ref="C7:G7"/>
    <mergeCell ref="A1:G1"/>
    <mergeCell ref="A56:G56"/>
    <mergeCell ref="C6:G6"/>
    <mergeCell ref="C10:G10"/>
    <mergeCell ref="A4:G4"/>
    <mergeCell ref="C5:G5"/>
    <mergeCell ref="A2:G2"/>
    <mergeCell ref="A57:G57"/>
    <mergeCell ref="A73:G73"/>
    <mergeCell ref="C8:G8"/>
    <mergeCell ref="C9:G9"/>
    <mergeCell ref="A37:G37"/>
  </mergeCells>
  <dataValidations count="2">
    <dataValidation sqref="B10" showDropDown="0" showInputMessage="0" showErrorMessage="0" allowBlank="0" type="list">
      <formula1>"Full FI plan,Debt-free plan,Flexible work plan"</formula1>
    </dataValidation>
    <dataValidation sqref="D15:E34" showDropDown="0" showInputMessage="0" showErrorMessage="0" allowBlank="0" type="list">
      <formula1>"Yes,No"</formula1>
    </dataValidation>
  </dataValidations>
  <pageMargins left="0.25" right="0.25"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T7"/>
  <sheetViews>
    <sheetView showGridLines="0" workbookViewId="0">
      <pane ySplit="4" topLeftCell="A5" activePane="bottomLeft" state="frozen"/>
      <selection pane="bottomLeft" activeCell="A1" sqref="A1"/>
    </sheetView>
  </sheetViews>
  <sheetFormatPr baseColWidth="8" defaultRowHeight="15"/>
  <cols>
    <col width="22" customWidth="1" min="1" max="1"/>
    <col width="20" customWidth="1" min="2" max="2"/>
    <col width="2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26" customWidth="1" min="16" max="16"/>
    <col width="23" customWidth="1" min="17" max="17"/>
    <col width="18" customWidth="1" min="18" max="18"/>
    <col width="18" customWidth="1" min="19" max="19"/>
    <col width="23" customWidth="1" min="20" max="20"/>
  </cols>
  <sheetData>
    <row r="1" ht="32" customHeight="1">
      <c r="A1" s="1" t="inlineStr">
        <is>
          <t>Plans</t>
        </is>
      </c>
    </row>
    <row r="2" ht="28" customHeight="1">
      <c r="A2" s="2" t="inlineStr">
        <is>
          <t>Edit the yellow annual spending and flexible-work income assumptions. Every plan includes clearing all current debt because retirement spending is debt-free.</t>
        </is>
      </c>
    </row>
    <row r="4" ht="32" customHeight="1">
      <c r="A4" s="4" t="inlineStr">
        <is>
          <t>Plan</t>
        </is>
      </c>
      <c r="B4" s="4" t="inlineStr">
        <is>
          <t>Annual debt-free retirement spending</t>
        </is>
      </c>
      <c r="C4" s="4" t="inlineStr">
        <is>
          <t>Annual flexible-work income</t>
        </is>
      </c>
      <c r="D4" s="4" t="inlineStr">
        <is>
          <t>Net annual spending</t>
        </is>
      </c>
      <c r="E4" s="4" t="inlineStr">
        <is>
          <t>FI lifestyle capital</t>
        </is>
      </c>
      <c r="F4" s="4" t="inlineStr">
        <is>
          <t>Debt payoff</t>
        </is>
      </c>
      <c r="G4" s="4" t="inlineStr">
        <is>
          <t>Capital required</t>
        </is>
      </c>
      <c r="H4" s="4" t="inlineStr">
        <is>
          <t>Years to FI age</t>
        </is>
      </c>
      <c r="I4" s="4" t="inlineStr">
        <is>
          <t>Weighted FI real return</t>
        </is>
      </c>
      <c r="J4" s="4" t="inlineStr">
        <is>
          <t>Accessible FI assets</t>
        </is>
      </c>
      <c r="K4" s="4" t="inlineStr">
        <is>
          <t>Restricted super / SMSF</t>
        </is>
      </c>
      <c r="L4" s="4" t="inlineStr">
        <is>
          <t>Accessible real return</t>
        </is>
      </c>
      <c r="M4" s="4" t="inlineStr">
        <is>
          <t>Restricted real return</t>
        </is>
      </c>
      <c r="N4" s="4" t="inlineStr">
        <is>
          <t>Bridge years</t>
        </is>
      </c>
      <c r="O4" s="4" t="inlineStr">
        <is>
          <t>Bridge reserve</t>
        </is>
      </c>
      <c r="P4" s="4" t="inlineStr">
        <is>
          <t>Accessible threshold (bridge + debt)</t>
        </is>
      </c>
      <c r="Q4" s="4" t="inlineStr">
        <is>
          <t>External monthly contribution</t>
        </is>
      </c>
      <c r="R4" s="4" t="inlineStr">
        <is>
          <t>Current FI assets</t>
        </is>
      </c>
      <c r="S4" s="4" t="inlineStr">
        <is>
          <t>Funded %</t>
        </is>
      </c>
      <c r="T4" s="4" t="inlineStr">
        <is>
          <t>Liquidity status</t>
        </is>
      </c>
    </row>
    <row r="5">
      <c r="A5" s="5" t="inlineStr">
        <is>
          <t>Full FI plan</t>
        </is>
      </c>
      <c r="B5" s="18" t="n">
        <v>320000</v>
      </c>
      <c r="C5" s="18" t="n">
        <v>0</v>
      </c>
      <c r="D5" s="19">
        <f>MAX(0,B5-C5)</f>
        <v/>
      </c>
      <c r="E5" s="19">
        <f>IFERROR(D5/Inputs!$B$8,0)</f>
        <v/>
      </c>
      <c r="F5" s="19">
        <f>SUM(Inputs!$B$39:$B$53)</f>
        <v/>
      </c>
      <c r="G5" s="19">
        <f>E5+F5</f>
        <v/>
      </c>
      <c r="H5" s="20">
        <f>MAX(0,Inputs!$B$6-Inputs!$B$5)</f>
        <v/>
      </c>
      <c r="I5" s="21">
        <f>IFERROR(SUMPRODUCT((Inputs!$D$15:$D$34="Yes")*Inputs!$B$15:$B$34*Inputs!$G$15:$G$34)/SUMIF(Inputs!$D$15:$D$34,"Yes",Inputs!$B$15:$B$34),0)</f>
        <v/>
      </c>
      <c r="J5" s="19">
        <f>SUMIFS(Inputs!$B$15:$B$34,Inputs!$D$15:$D$34,"Yes",Inputs!$E$15:$E$34,"Yes")</f>
        <v/>
      </c>
      <c r="K5" s="19">
        <f>SUMIFS(Inputs!$B$15:$B$34,Inputs!$D$15:$D$34,"Yes",Inputs!$E$15:$E$34,"No")</f>
        <v/>
      </c>
      <c r="L5" s="21">
        <f>IFERROR(SUMPRODUCT((Inputs!$D$15:$D$34="Yes")*(Inputs!$E$15:$E$34="Yes")*Inputs!$B$15:$B$34*Inputs!$G$15:$G$34)/J5,0)</f>
        <v/>
      </c>
      <c r="M5" s="21">
        <f>IFERROR(SUMPRODUCT((Inputs!$D$15:$D$34="Yes")*(Inputs!$E$15:$E$34="No")*Inputs!$B$15:$B$34*Inputs!$G$15:$G$34)/K5,0)</f>
        <v/>
      </c>
      <c r="N5" s="20">
        <f>MAX(0,Inputs!$B$7-Inputs!$B$6)</f>
        <v/>
      </c>
      <c r="O5" s="19">
        <f>IF(N5=0,0,IF(ABS(L5)&lt;0.000000000001,D5*N5,D5*(1-(1+L5)^-N5)/L5))</f>
        <v/>
      </c>
      <c r="P5" s="19">
        <f>O5+F5</f>
        <v/>
      </c>
      <c r="Q5" s="19">
        <f>Inputs!$B$70-Inputs!$E$70-Inputs!$E$71</f>
        <v/>
      </c>
      <c r="R5" s="19">
        <f>J5+K5</f>
        <v/>
      </c>
      <c r="S5" s="21">
        <f>IFERROR(R5/G5,0)</f>
        <v/>
      </c>
      <c r="T5" s="19">
        <f>IF(J5&gt;=P5,"Accessible bridge funded","Accessible bridge gap")</f>
        <v/>
      </c>
    </row>
    <row r="6">
      <c r="A6" s="5" t="inlineStr">
        <is>
          <t>Debt-free plan</t>
        </is>
      </c>
      <c r="B6" s="18" t="n">
        <v>320000</v>
      </c>
      <c r="C6" s="18" t="n">
        <v>0</v>
      </c>
      <c r="D6" s="19">
        <f>MAX(0,B6-C6)</f>
        <v/>
      </c>
      <c r="E6" s="19">
        <f>IFERROR(D6/Inputs!$B$8,0)</f>
        <v/>
      </c>
      <c r="F6" s="19">
        <f>SUM(Inputs!$B$39:$B$53)</f>
        <v/>
      </c>
      <c r="G6" s="19">
        <f>E6+F6</f>
        <v/>
      </c>
      <c r="H6" s="20">
        <f>MAX(0,Inputs!$B$6-Inputs!$B$5)</f>
        <v/>
      </c>
      <c r="I6" s="21">
        <f>IFERROR(SUMPRODUCT((Inputs!$D$15:$D$34="Yes")*Inputs!$B$15:$B$34*Inputs!$G$15:$G$34)/SUMIF(Inputs!$D$15:$D$34,"Yes",Inputs!$B$15:$B$34),0)</f>
        <v/>
      </c>
      <c r="J6" s="19">
        <f>SUMIFS(Inputs!$B$15:$B$34,Inputs!$D$15:$D$34,"Yes",Inputs!$E$15:$E$34,"Yes")</f>
        <v/>
      </c>
      <c r="K6" s="19">
        <f>SUMIFS(Inputs!$B$15:$B$34,Inputs!$D$15:$D$34,"Yes",Inputs!$E$15:$E$34,"No")</f>
        <v/>
      </c>
      <c r="L6" s="21">
        <f>IFERROR(SUMPRODUCT((Inputs!$D$15:$D$34="Yes")*(Inputs!$E$15:$E$34="Yes")*Inputs!$B$15:$B$34*Inputs!$G$15:$G$34)/J6,0)</f>
        <v/>
      </c>
      <c r="M6" s="21">
        <f>IFERROR(SUMPRODUCT((Inputs!$D$15:$D$34="Yes")*(Inputs!$E$15:$E$34="No")*Inputs!$B$15:$B$34*Inputs!$G$15:$G$34)/K6,0)</f>
        <v/>
      </c>
      <c r="N6" s="20">
        <f>MAX(0,Inputs!$B$7-Inputs!$B$6)</f>
        <v/>
      </c>
      <c r="O6" s="19">
        <f>IF(N6=0,0,IF(ABS(L6)&lt;0.000000000001,D6*N6,D6*(1-(1+L6)^-N6)/L6))</f>
        <v/>
      </c>
      <c r="P6" s="19">
        <f>O6+F6</f>
        <v/>
      </c>
      <c r="Q6" s="19">
        <f>Inputs!$B$70-Inputs!$E$70-Inputs!$E$71</f>
        <v/>
      </c>
      <c r="R6" s="19">
        <f>J6+K6</f>
        <v/>
      </c>
      <c r="S6" s="21">
        <f>IFERROR(R6/G6,0)</f>
        <v/>
      </c>
      <c r="T6" s="19">
        <f>IF(J6&gt;=P6,"Accessible bridge funded","Accessible bridge gap")</f>
        <v/>
      </c>
    </row>
    <row r="7">
      <c r="A7" s="5" t="inlineStr">
        <is>
          <t>Flexible work plan</t>
        </is>
      </c>
      <c r="B7" s="18" t="n">
        <v>320000</v>
      </c>
      <c r="C7" s="18" t="n">
        <v>0</v>
      </c>
      <c r="D7" s="19">
        <f>MAX(0,B7-C7)</f>
        <v/>
      </c>
      <c r="E7" s="19">
        <f>IFERROR(D7/Inputs!$B$8,0)</f>
        <v/>
      </c>
      <c r="F7" s="19">
        <f>SUM(Inputs!$B$39:$B$53)</f>
        <v/>
      </c>
      <c r="G7" s="19">
        <f>E7+F7</f>
        <v/>
      </c>
      <c r="H7" s="20">
        <f>MAX(0,Inputs!$B$6-Inputs!$B$5)</f>
        <v/>
      </c>
      <c r="I7" s="21">
        <f>IFERROR(SUMPRODUCT((Inputs!$D$15:$D$34="Yes")*Inputs!$B$15:$B$34*Inputs!$G$15:$G$34)/SUMIF(Inputs!$D$15:$D$34,"Yes",Inputs!$B$15:$B$34),0)</f>
        <v/>
      </c>
      <c r="J7" s="19">
        <f>SUMIFS(Inputs!$B$15:$B$34,Inputs!$D$15:$D$34,"Yes",Inputs!$E$15:$E$34,"Yes")</f>
        <v/>
      </c>
      <c r="K7" s="19">
        <f>SUMIFS(Inputs!$B$15:$B$34,Inputs!$D$15:$D$34,"Yes",Inputs!$E$15:$E$34,"No")</f>
        <v/>
      </c>
      <c r="L7" s="21">
        <f>IFERROR(SUMPRODUCT((Inputs!$D$15:$D$34="Yes")*(Inputs!$E$15:$E$34="Yes")*Inputs!$B$15:$B$34*Inputs!$G$15:$G$34)/J7,0)</f>
        <v/>
      </c>
      <c r="M7" s="21">
        <f>IFERROR(SUMPRODUCT((Inputs!$D$15:$D$34="Yes")*(Inputs!$E$15:$E$34="No")*Inputs!$B$15:$B$34*Inputs!$G$15:$G$34)/K7,0)</f>
        <v/>
      </c>
      <c r="N7" s="20">
        <f>MAX(0,Inputs!$B$7-Inputs!$B$6)</f>
        <v/>
      </c>
      <c r="O7" s="19">
        <f>IF(N7=0,0,IF(ABS(L7)&lt;0.000000000001,D7*N7,D7*(1-(1+L7)^-N7)/L7))</f>
        <v/>
      </c>
      <c r="P7" s="19">
        <f>O7+F7</f>
        <v/>
      </c>
      <c r="Q7" s="19">
        <f>Inputs!$B$70-Inputs!$E$70-Inputs!$E$71</f>
        <v/>
      </c>
      <c r="R7" s="19">
        <f>J7+K7</f>
        <v/>
      </c>
      <c r="S7" s="21">
        <f>IFERROR(R7/G7,0)</f>
        <v/>
      </c>
      <c r="T7" s="19">
        <f>IF(J7&gt;=P7,"Accessible bridge funded","Accessible bridge gap")</f>
        <v/>
      </c>
    </row>
  </sheetData>
  <mergeCells count="2">
    <mergeCell ref="A1:T1"/>
    <mergeCell ref="A2:T2"/>
  </mergeCells>
  <conditionalFormatting sqref="S5:S7">
    <cfRule type="cellIs" priority="1" operator="lessThan" dxfId="0">
      <formula>1</formula>
    </cfRule>
  </conditionalFormatting>
  <conditionalFormatting sqref="T5:T7">
    <cfRule type="cellIs" priority="2" operator="equal" dxfId="1">
      <formula>"Accessible bridge funded"</formula>
    </cfRule>
  </conditionalFormatting>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K736"/>
  <sheetViews>
    <sheetView showGridLines="0" workbookViewId="0">
      <pane ySplit="15" topLeftCell="A16" activePane="bottomLeft" state="frozen"/>
      <selection pane="bottomLeft" activeCell="A1" sqref="A1"/>
    </sheetView>
  </sheetViews>
  <sheetFormatPr baseColWidth="8" defaultRowHeight="15"/>
  <cols>
    <col width="10" customWidth="1" min="1" max="1"/>
    <col width="14" customWidth="1" min="2" max="2"/>
    <col width="10" customWidth="1" min="3" max="3"/>
    <col width="21" customWidth="1" min="4" max="4"/>
    <col width="23" customWidth="1" min="5" max="5"/>
    <col width="18" customWidth="1" min="6" max="6"/>
    <col width="18" customWidth="1" min="7" max="7"/>
    <col width="22" customWidth="1" min="8" max="8"/>
    <col width="14" customWidth="1" min="9" max="9"/>
    <col width="22" customWidth="1" min="10" max="10"/>
    <col width="3" customWidth="1" min="11" max="11"/>
  </cols>
  <sheetData>
    <row r="1" ht="32" customHeight="1">
      <c r="A1" s="1" t="inlineStr">
        <is>
          <t>Projection</t>
        </is>
      </c>
    </row>
    <row r="2" ht="28" customHeight="1">
      <c r="A2" s="2" t="inlineStr">
        <is>
          <t>Monthly real-return projection for the active plan selected on Inputs. It tests both total capital and the accessible pre-super bridge.</t>
        </is>
      </c>
    </row>
    <row r="4" ht="21" customHeight="1">
      <c r="A4" s="3" t="inlineStr">
        <is>
          <t>Active plan settings (formula-linked)</t>
        </is>
      </c>
    </row>
    <row r="5">
      <c r="A5" s="7" t="inlineStr">
        <is>
          <t>Selected plan</t>
        </is>
      </c>
      <c r="B5" s="22">
        <f>Inputs!$B$10</f>
        <v/>
      </c>
    </row>
    <row r="6">
      <c r="A6" s="7" t="inlineStr">
        <is>
          <t>Capital required</t>
        </is>
      </c>
      <c r="B6" s="15">
        <f>INDEX(Plans!$G$5:$G$7,MATCH(B5,Plans!$A$5:$A$7,0))</f>
        <v/>
      </c>
    </row>
    <row r="7">
      <c r="A7" s="7" t="inlineStr">
        <is>
          <t>Accessible threshold</t>
        </is>
      </c>
      <c r="B7" s="15">
        <f>INDEX(Plans!$P$5:$P$7,MATCH(B5,Plans!$A$5:$A$7,0))</f>
        <v/>
      </c>
    </row>
    <row r="8">
      <c r="A8" s="7" t="inlineStr">
        <is>
          <t>Accessible real return</t>
        </is>
      </c>
      <c r="B8" s="14">
        <f>INDEX(Plans!$L$5:$L$7,MATCH(B5,Plans!$A$5:$A$7,0))</f>
        <v/>
      </c>
    </row>
    <row r="9">
      <c r="A9" s="7" t="inlineStr">
        <is>
          <t>Restricted real return</t>
        </is>
      </c>
      <c r="B9" s="14">
        <f>INDEX(Plans!$M$5:$M$7,MATCH(B5,Plans!$A$5:$A$7,0))</f>
        <v/>
      </c>
    </row>
    <row r="10">
      <c r="A10" s="7" t="inlineStr">
        <is>
          <t>External monthly contribution</t>
        </is>
      </c>
      <c r="B10" s="15">
        <f>INDEX(Plans!$Q$5:$Q$7,MATCH(B5,Plans!$A$5:$A$7,0))</f>
        <v/>
      </c>
    </row>
    <row r="11">
      <c r="A11" s="7" t="inlineStr">
        <is>
          <t>Starting accessible FI assets</t>
        </is>
      </c>
      <c r="B11" s="15">
        <f>INDEX(Plans!$J$5:$J$7,MATCH(B5,Plans!$A$5:$A$7,0))</f>
        <v/>
      </c>
    </row>
    <row r="12">
      <c r="A12" s="7" t="inlineStr">
        <is>
          <t>Starting restricted super / SMSF</t>
        </is>
      </c>
      <c r="B12" s="15">
        <f>INDEX(Plans!$K$5:$K$7,MATCH(B5,Plans!$A$5:$A$7,0))</f>
        <v/>
      </c>
    </row>
    <row r="15" ht="32" customHeight="1">
      <c r="A15" s="4" t="inlineStr">
        <is>
          <t>Month</t>
        </is>
      </c>
      <c r="B15" s="4" t="inlineStr">
        <is>
          <t>Date</t>
        </is>
      </c>
      <c r="C15" s="4" t="inlineStr">
        <is>
          <t>Age</t>
        </is>
      </c>
      <c r="D15" s="4" t="inlineStr">
        <is>
          <t>Accessible FI assets</t>
        </is>
      </c>
      <c r="E15" s="4" t="inlineStr">
        <is>
          <t>Restricted super / SMSF</t>
        </is>
      </c>
      <c r="F15" s="4" t="inlineStr">
        <is>
          <t>Total FI assets</t>
        </is>
      </c>
      <c r="G15" s="4" t="inlineStr">
        <is>
          <t>Capital required</t>
        </is>
      </c>
      <c r="H15" s="4" t="inlineStr">
        <is>
          <t>Accessible threshold</t>
        </is>
      </c>
      <c r="I15" s="4" t="inlineStr">
        <is>
          <t>FI reached?</t>
        </is>
      </c>
      <c r="J15" s="4" t="inlineStr">
        <is>
          <t>Notes</t>
        </is>
      </c>
      <c r="K15" s="4" t="inlineStr"/>
    </row>
    <row r="16">
      <c r="A16" s="23" t="n">
        <v>0</v>
      </c>
      <c r="B16" s="24">
        <f>EDATE(TODAY(),A16)</f>
        <v/>
      </c>
      <c r="C16" s="25">
        <f>Inputs!$B$5+A16/12</f>
        <v/>
      </c>
      <c r="D16" s="15">
        <f>$B$11</f>
        <v/>
      </c>
      <c r="E16" s="15">
        <f>$B$12</f>
        <v/>
      </c>
      <c r="F16" s="15">
        <f>D16+E16</f>
        <v/>
      </c>
      <c r="G16" s="15">
        <f>$B$6</f>
        <v/>
      </c>
      <c r="H16" s="15">
        <f>$B$7</f>
        <v/>
      </c>
      <c r="I16" s="22">
        <f>IF(AND(F16&gt;=G16,D16&gt;=H16),"FI reached","")</f>
        <v/>
      </c>
      <c r="J16" s="22">
        <f>IF(A16=720,"60-year model limit","")</f>
        <v/>
      </c>
    </row>
    <row r="17">
      <c r="A17" s="23" t="n">
        <v>1</v>
      </c>
      <c r="B17" s="24">
        <f>EDATE(TODAY(),A17)</f>
        <v/>
      </c>
      <c r="C17" s="25">
        <f>Inputs!$B$5+A17/12</f>
        <v/>
      </c>
      <c r="D17" s="15">
        <f>D16*(1+$B$8)^(1/12)+$B$10</f>
        <v/>
      </c>
      <c r="E17" s="15">
        <f>E16*(1+$B$9)^(1/12)</f>
        <v/>
      </c>
      <c r="F17" s="15">
        <f>D17+E17</f>
        <v/>
      </c>
      <c r="G17" s="15">
        <f>$B$6</f>
        <v/>
      </c>
      <c r="H17" s="15">
        <f>$B$7</f>
        <v/>
      </c>
      <c r="I17" s="22">
        <f>IF(AND(F17&gt;=G17,D17&gt;=H17),"FI reached","")</f>
        <v/>
      </c>
      <c r="J17" s="22">
        <f>IF(A17=720,"60-year model limit","")</f>
        <v/>
      </c>
    </row>
    <row r="18">
      <c r="A18" s="23" t="n">
        <v>2</v>
      </c>
      <c r="B18" s="24">
        <f>EDATE(TODAY(),A18)</f>
        <v/>
      </c>
      <c r="C18" s="25">
        <f>Inputs!$B$5+A18/12</f>
        <v/>
      </c>
      <c r="D18" s="15">
        <f>D17*(1+$B$8)^(1/12)+$B$10</f>
        <v/>
      </c>
      <c r="E18" s="15">
        <f>E17*(1+$B$9)^(1/12)</f>
        <v/>
      </c>
      <c r="F18" s="15">
        <f>D18+E18</f>
        <v/>
      </c>
      <c r="G18" s="15">
        <f>$B$6</f>
        <v/>
      </c>
      <c r="H18" s="15">
        <f>$B$7</f>
        <v/>
      </c>
      <c r="I18" s="22">
        <f>IF(AND(F18&gt;=G18,D18&gt;=H18),"FI reached","")</f>
        <v/>
      </c>
      <c r="J18" s="22">
        <f>IF(A18=720,"60-year model limit","")</f>
        <v/>
      </c>
    </row>
    <row r="19">
      <c r="A19" s="23" t="n">
        <v>3</v>
      </c>
      <c r="B19" s="24">
        <f>EDATE(TODAY(),A19)</f>
        <v/>
      </c>
      <c r="C19" s="25">
        <f>Inputs!$B$5+A19/12</f>
        <v/>
      </c>
      <c r="D19" s="15">
        <f>D18*(1+$B$8)^(1/12)+$B$10</f>
        <v/>
      </c>
      <c r="E19" s="15">
        <f>E18*(1+$B$9)^(1/12)</f>
        <v/>
      </c>
      <c r="F19" s="15">
        <f>D19+E19</f>
        <v/>
      </c>
      <c r="G19" s="15">
        <f>$B$6</f>
        <v/>
      </c>
      <c r="H19" s="15">
        <f>$B$7</f>
        <v/>
      </c>
      <c r="I19" s="22">
        <f>IF(AND(F19&gt;=G19,D19&gt;=H19),"FI reached","")</f>
        <v/>
      </c>
      <c r="J19" s="22">
        <f>IF(A19=720,"60-year model limit","")</f>
        <v/>
      </c>
    </row>
    <row r="20">
      <c r="A20" s="23" t="n">
        <v>4</v>
      </c>
      <c r="B20" s="24">
        <f>EDATE(TODAY(),A20)</f>
        <v/>
      </c>
      <c r="C20" s="25">
        <f>Inputs!$B$5+A20/12</f>
        <v/>
      </c>
      <c r="D20" s="15">
        <f>D19*(1+$B$8)^(1/12)+$B$10</f>
        <v/>
      </c>
      <c r="E20" s="15">
        <f>E19*(1+$B$9)^(1/12)</f>
        <v/>
      </c>
      <c r="F20" s="15">
        <f>D20+E20</f>
        <v/>
      </c>
      <c r="G20" s="15">
        <f>$B$6</f>
        <v/>
      </c>
      <c r="H20" s="15">
        <f>$B$7</f>
        <v/>
      </c>
      <c r="I20" s="22">
        <f>IF(AND(F20&gt;=G20,D20&gt;=H20),"FI reached","")</f>
        <v/>
      </c>
      <c r="J20" s="22">
        <f>IF(A20=720,"60-year model limit","")</f>
        <v/>
      </c>
    </row>
    <row r="21">
      <c r="A21" s="23" t="n">
        <v>5</v>
      </c>
      <c r="B21" s="24">
        <f>EDATE(TODAY(),A21)</f>
        <v/>
      </c>
      <c r="C21" s="25">
        <f>Inputs!$B$5+A21/12</f>
        <v/>
      </c>
      <c r="D21" s="15">
        <f>D20*(1+$B$8)^(1/12)+$B$10</f>
        <v/>
      </c>
      <c r="E21" s="15">
        <f>E20*(1+$B$9)^(1/12)</f>
        <v/>
      </c>
      <c r="F21" s="15">
        <f>D21+E21</f>
        <v/>
      </c>
      <c r="G21" s="15">
        <f>$B$6</f>
        <v/>
      </c>
      <c r="H21" s="15">
        <f>$B$7</f>
        <v/>
      </c>
      <c r="I21" s="22">
        <f>IF(AND(F21&gt;=G21,D21&gt;=H21),"FI reached","")</f>
        <v/>
      </c>
      <c r="J21" s="22">
        <f>IF(A21=720,"60-year model limit","")</f>
        <v/>
      </c>
    </row>
    <row r="22">
      <c r="A22" s="23" t="n">
        <v>6</v>
      </c>
      <c r="B22" s="24">
        <f>EDATE(TODAY(),A22)</f>
        <v/>
      </c>
      <c r="C22" s="25">
        <f>Inputs!$B$5+A22/12</f>
        <v/>
      </c>
      <c r="D22" s="15">
        <f>D21*(1+$B$8)^(1/12)+$B$10</f>
        <v/>
      </c>
      <c r="E22" s="15">
        <f>E21*(1+$B$9)^(1/12)</f>
        <v/>
      </c>
      <c r="F22" s="15">
        <f>D22+E22</f>
        <v/>
      </c>
      <c r="G22" s="15">
        <f>$B$6</f>
        <v/>
      </c>
      <c r="H22" s="15">
        <f>$B$7</f>
        <v/>
      </c>
      <c r="I22" s="22">
        <f>IF(AND(F22&gt;=G22,D22&gt;=H22),"FI reached","")</f>
        <v/>
      </c>
      <c r="J22" s="22">
        <f>IF(A22=720,"60-year model limit","")</f>
        <v/>
      </c>
    </row>
    <row r="23">
      <c r="A23" s="23" t="n">
        <v>7</v>
      </c>
      <c r="B23" s="24">
        <f>EDATE(TODAY(),A23)</f>
        <v/>
      </c>
      <c r="C23" s="25">
        <f>Inputs!$B$5+A23/12</f>
        <v/>
      </c>
      <c r="D23" s="15">
        <f>D22*(1+$B$8)^(1/12)+$B$10</f>
        <v/>
      </c>
      <c r="E23" s="15">
        <f>E22*(1+$B$9)^(1/12)</f>
        <v/>
      </c>
      <c r="F23" s="15">
        <f>D23+E23</f>
        <v/>
      </c>
      <c r="G23" s="15">
        <f>$B$6</f>
        <v/>
      </c>
      <c r="H23" s="15">
        <f>$B$7</f>
        <v/>
      </c>
      <c r="I23" s="22">
        <f>IF(AND(F23&gt;=G23,D23&gt;=H23),"FI reached","")</f>
        <v/>
      </c>
      <c r="J23" s="22">
        <f>IF(A23=720,"60-year model limit","")</f>
        <v/>
      </c>
    </row>
    <row r="24">
      <c r="A24" s="23" t="n">
        <v>8</v>
      </c>
      <c r="B24" s="24">
        <f>EDATE(TODAY(),A24)</f>
        <v/>
      </c>
      <c r="C24" s="25">
        <f>Inputs!$B$5+A24/12</f>
        <v/>
      </c>
      <c r="D24" s="15">
        <f>D23*(1+$B$8)^(1/12)+$B$10</f>
        <v/>
      </c>
      <c r="E24" s="15">
        <f>E23*(1+$B$9)^(1/12)</f>
        <v/>
      </c>
      <c r="F24" s="15">
        <f>D24+E24</f>
        <v/>
      </c>
      <c r="G24" s="15">
        <f>$B$6</f>
        <v/>
      </c>
      <c r="H24" s="15">
        <f>$B$7</f>
        <v/>
      </c>
      <c r="I24" s="22">
        <f>IF(AND(F24&gt;=G24,D24&gt;=H24),"FI reached","")</f>
        <v/>
      </c>
      <c r="J24" s="22">
        <f>IF(A24=720,"60-year model limit","")</f>
        <v/>
      </c>
    </row>
    <row r="25">
      <c r="A25" s="23" t="n">
        <v>9</v>
      </c>
      <c r="B25" s="24">
        <f>EDATE(TODAY(),A25)</f>
        <v/>
      </c>
      <c r="C25" s="25">
        <f>Inputs!$B$5+A25/12</f>
        <v/>
      </c>
      <c r="D25" s="15">
        <f>D24*(1+$B$8)^(1/12)+$B$10</f>
        <v/>
      </c>
      <c r="E25" s="15">
        <f>E24*(1+$B$9)^(1/12)</f>
        <v/>
      </c>
      <c r="F25" s="15">
        <f>D25+E25</f>
        <v/>
      </c>
      <c r="G25" s="15">
        <f>$B$6</f>
        <v/>
      </c>
      <c r="H25" s="15">
        <f>$B$7</f>
        <v/>
      </c>
      <c r="I25" s="22">
        <f>IF(AND(F25&gt;=G25,D25&gt;=H25),"FI reached","")</f>
        <v/>
      </c>
      <c r="J25" s="22">
        <f>IF(A25=720,"60-year model limit","")</f>
        <v/>
      </c>
    </row>
    <row r="26">
      <c r="A26" s="23" t="n">
        <v>10</v>
      </c>
      <c r="B26" s="24">
        <f>EDATE(TODAY(),A26)</f>
        <v/>
      </c>
      <c r="C26" s="25">
        <f>Inputs!$B$5+A26/12</f>
        <v/>
      </c>
      <c r="D26" s="15">
        <f>D25*(1+$B$8)^(1/12)+$B$10</f>
        <v/>
      </c>
      <c r="E26" s="15">
        <f>E25*(1+$B$9)^(1/12)</f>
        <v/>
      </c>
      <c r="F26" s="15">
        <f>D26+E26</f>
        <v/>
      </c>
      <c r="G26" s="15">
        <f>$B$6</f>
        <v/>
      </c>
      <c r="H26" s="15">
        <f>$B$7</f>
        <v/>
      </c>
      <c r="I26" s="22">
        <f>IF(AND(F26&gt;=G26,D26&gt;=H26),"FI reached","")</f>
        <v/>
      </c>
      <c r="J26" s="22">
        <f>IF(A26=720,"60-year model limit","")</f>
        <v/>
      </c>
    </row>
    <row r="27">
      <c r="A27" s="23" t="n">
        <v>11</v>
      </c>
      <c r="B27" s="24">
        <f>EDATE(TODAY(),A27)</f>
        <v/>
      </c>
      <c r="C27" s="25">
        <f>Inputs!$B$5+A27/12</f>
        <v/>
      </c>
      <c r="D27" s="15">
        <f>D26*(1+$B$8)^(1/12)+$B$10</f>
        <v/>
      </c>
      <c r="E27" s="15">
        <f>E26*(1+$B$9)^(1/12)</f>
        <v/>
      </c>
      <c r="F27" s="15">
        <f>D27+E27</f>
        <v/>
      </c>
      <c r="G27" s="15">
        <f>$B$6</f>
        <v/>
      </c>
      <c r="H27" s="15">
        <f>$B$7</f>
        <v/>
      </c>
      <c r="I27" s="22">
        <f>IF(AND(F27&gt;=G27,D27&gt;=H27),"FI reached","")</f>
        <v/>
      </c>
      <c r="J27" s="22">
        <f>IF(A27=720,"60-year model limit","")</f>
        <v/>
      </c>
    </row>
    <row r="28">
      <c r="A28" s="23" t="n">
        <v>12</v>
      </c>
      <c r="B28" s="24">
        <f>EDATE(TODAY(),A28)</f>
        <v/>
      </c>
      <c r="C28" s="25">
        <f>Inputs!$B$5+A28/12</f>
        <v/>
      </c>
      <c r="D28" s="15">
        <f>D27*(1+$B$8)^(1/12)+$B$10</f>
        <v/>
      </c>
      <c r="E28" s="15">
        <f>E27*(1+$B$9)^(1/12)</f>
        <v/>
      </c>
      <c r="F28" s="15">
        <f>D28+E28</f>
        <v/>
      </c>
      <c r="G28" s="15">
        <f>$B$6</f>
        <v/>
      </c>
      <c r="H28" s="15">
        <f>$B$7</f>
        <v/>
      </c>
      <c r="I28" s="22">
        <f>IF(AND(F28&gt;=G28,D28&gt;=H28),"FI reached","")</f>
        <v/>
      </c>
      <c r="J28" s="22">
        <f>IF(A28=720,"60-year model limit","")</f>
        <v/>
      </c>
    </row>
    <row r="29">
      <c r="A29" s="23" t="n">
        <v>13</v>
      </c>
      <c r="B29" s="24">
        <f>EDATE(TODAY(),A29)</f>
        <v/>
      </c>
      <c r="C29" s="25">
        <f>Inputs!$B$5+A29/12</f>
        <v/>
      </c>
      <c r="D29" s="15">
        <f>D28*(1+$B$8)^(1/12)+$B$10</f>
        <v/>
      </c>
      <c r="E29" s="15">
        <f>E28*(1+$B$9)^(1/12)</f>
        <v/>
      </c>
      <c r="F29" s="15">
        <f>D29+E29</f>
        <v/>
      </c>
      <c r="G29" s="15">
        <f>$B$6</f>
        <v/>
      </c>
      <c r="H29" s="15">
        <f>$B$7</f>
        <v/>
      </c>
      <c r="I29" s="22">
        <f>IF(AND(F29&gt;=G29,D29&gt;=H29),"FI reached","")</f>
        <v/>
      </c>
      <c r="J29" s="22">
        <f>IF(A29=720,"60-year model limit","")</f>
        <v/>
      </c>
    </row>
    <row r="30">
      <c r="A30" s="23" t="n">
        <v>14</v>
      </c>
      <c r="B30" s="24">
        <f>EDATE(TODAY(),A30)</f>
        <v/>
      </c>
      <c r="C30" s="25">
        <f>Inputs!$B$5+A30/12</f>
        <v/>
      </c>
      <c r="D30" s="15">
        <f>D29*(1+$B$8)^(1/12)+$B$10</f>
        <v/>
      </c>
      <c r="E30" s="15">
        <f>E29*(1+$B$9)^(1/12)</f>
        <v/>
      </c>
      <c r="F30" s="15">
        <f>D30+E30</f>
        <v/>
      </c>
      <c r="G30" s="15">
        <f>$B$6</f>
        <v/>
      </c>
      <c r="H30" s="15">
        <f>$B$7</f>
        <v/>
      </c>
      <c r="I30" s="22">
        <f>IF(AND(F30&gt;=G30,D30&gt;=H30),"FI reached","")</f>
        <v/>
      </c>
      <c r="J30" s="22">
        <f>IF(A30=720,"60-year model limit","")</f>
        <v/>
      </c>
    </row>
    <row r="31">
      <c r="A31" s="23" t="n">
        <v>15</v>
      </c>
      <c r="B31" s="24">
        <f>EDATE(TODAY(),A31)</f>
        <v/>
      </c>
      <c r="C31" s="25">
        <f>Inputs!$B$5+A31/12</f>
        <v/>
      </c>
      <c r="D31" s="15">
        <f>D30*(1+$B$8)^(1/12)+$B$10</f>
        <v/>
      </c>
      <c r="E31" s="15">
        <f>E30*(1+$B$9)^(1/12)</f>
        <v/>
      </c>
      <c r="F31" s="15">
        <f>D31+E31</f>
        <v/>
      </c>
      <c r="G31" s="15">
        <f>$B$6</f>
        <v/>
      </c>
      <c r="H31" s="15">
        <f>$B$7</f>
        <v/>
      </c>
      <c r="I31" s="22">
        <f>IF(AND(F31&gt;=G31,D31&gt;=H31),"FI reached","")</f>
        <v/>
      </c>
      <c r="J31" s="22">
        <f>IF(A31=720,"60-year model limit","")</f>
        <v/>
      </c>
    </row>
    <row r="32">
      <c r="A32" s="23" t="n">
        <v>16</v>
      </c>
      <c r="B32" s="24">
        <f>EDATE(TODAY(),A32)</f>
        <v/>
      </c>
      <c r="C32" s="25">
        <f>Inputs!$B$5+A32/12</f>
        <v/>
      </c>
      <c r="D32" s="15">
        <f>D31*(1+$B$8)^(1/12)+$B$10</f>
        <v/>
      </c>
      <c r="E32" s="15">
        <f>E31*(1+$B$9)^(1/12)</f>
        <v/>
      </c>
      <c r="F32" s="15">
        <f>D32+E32</f>
        <v/>
      </c>
      <c r="G32" s="15">
        <f>$B$6</f>
        <v/>
      </c>
      <c r="H32" s="15">
        <f>$B$7</f>
        <v/>
      </c>
      <c r="I32" s="22">
        <f>IF(AND(F32&gt;=G32,D32&gt;=H32),"FI reached","")</f>
        <v/>
      </c>
      <c r="J32" s="22">
        <f>IF(A32=720,"60-year model limit","")</f>
        <v/>
      </c>
    </row>
    <row r="33">
      <c r="A33" s="23" t="n">
        <v>17</v>
      </c>
      <c r="B33" s="24">
        <f>EDATE(TODAY(),A33)</f>
        <v/>
      </c>
      <c r="C33" s="25">
        <f>Inputs!$B$5+A33/12</f>
        <v/>
      </c>
      <c r="D33" s="15">
        <f>D32*(1+$B$8)^(1/12)+$B$10</f>
        <v/>
      </c>
      <c r="E33" s="15">
        <f>E32*(1+$B$9)^(1/12)</f>
        <v/>
      </c>
      <c r="F33" s="15">
        <f>D33+E33</f>
        <v/>
      </c>
      <c r="G33" s="15">
        <f>$B$6</f>
        <v/>
      </c>
      <c r="H33" s="15">
        <f>$B$7</f>
        <v/>
      </c>
      <c r="I33" s="22">
        <f>IF(AND(F33&gt;=G33,D33&gt;=H33),"FI reached","")</f>
        <v/>
      </c>
      <c r="J33" s="22">
        <f>IF(A33=720,"60-year model limit","")</f>
        <v/>
      </c>
    </row>
    <row r="34">
      <c r="A34" s="23" t="n">
        <v>18</v>
      </c>
      <c r="B34" s="24">
        <f>EDATE(TODAY(),A34)</f>
        <v/>
      </c>
      <c r="C34" s="25">
        <f>Inputs!$B$5+A34/12</f>
        <v/>
      </c>
      <c r="D34" s="15">
        <f>D33*(1+$B$8)^(1/12)+$B$10</f>
        <v/>
      </c>
      <c r="E34" s="15">
        <f>E33*(1+$B$9)^(1/12)</f>
        <v/>
      </c>
      <c r="F34" s="15">
        <f>D34+E34</f>
        <v/>
      </c>
      <c r="G34" s="15">
        <f>$B$6</f>
        <v/>
      </c>
      <c r="H34" s="15">
        <f>$B$7</f>
        <v/>
      </c>
      <c r="I34" s="22">
        <f>IF(AND(F34&gt;=G34,D34&gt;=H34),"FI reached","")</f>
        <v/>
      </c>
      <c r="J34" s="22">
        <f>IF(A34=720,"60-year model limit","")</f>
        <v/>
      </c>
    </row>
    <row r="35">
      <c r="A35" s="23" t="n">
        <v>19</v>
      </c>
      <c r="B35" s="24">
        <f>EDATE(TODAY(),A35)</f>
        <v/>
      </c>
      <c r="C35" s="25">
        <f>Inputs!$B$5+A35/12</f>
        <v/>
      </c>
      <c r="D35" s="15">
        <f>D34*(1+$B$8)^(1/12)+$B$10</f>
        <v/>
      </c>
      <c r="E35" s="15">
        <f>E34*(1+$B$9)^(1/12)</f>
        <v/>
      </c>
      <c r="F35" s="15">
        <f>D35+E35</f>
        <v/>
      </c>
      <c r="G35" s="15">
        <f>$B$6</f>
        <v/>
      </c>
      <c r="H35" s="15">
        <f>$B$7</f>
        <v/>
      </c>
      <c r="I35" s="22">
        <f>IF(AND(F35&gt;=G35,D35&gt;=H35),"FI reached","")</f>
        <v/>
      </c>
      <c r="J35" s="22">
        <f>IF(A35=720,"60-year model limit","")</f>
        <v/>
      </c>
    </row>
    <row r="36">
      <c r="A36" s="23" t="n">
        <v>20</v>
      </c>
      <c r="B36" s="24">
        <f>EDATE(TODAY(),A36)</f>
        <v/>
      </c>
      <c r="C36" s="25">
        <f>Inputs!$B$5+A36/12</f>
        <v/>
      </c>
      <c r="D36" s="15">
        <f>D35*(1+$B$8)^(1/12)+$B$10</f>
        <v/>
      </c>
      <c r="E36" s="15">
        <f>E35*(1+$B$9)^(1/12)</f>
        <v/>
      </c>
      <c r="F36" s="15">
        <f>D36+E36</f>
        <v/>
      </c>
      <c r="G36" s="15">
        <f>$B$6</f>
        <v/>
      </c>
      <c r="H36" s="15">
        <f>$B$7</f>
        <v/>
      </c>
      <c r="I36" s="22">
        <f>IF(AND(F36&gt;=G36,D36&gt;=H36),"FI reached","")</f>
        <v/>
      </c>
      <c r="J36" s="22">
        <f>IF(A36=720,"60-year model limit","")</f>
        <v/>
      </c>
    </row>
    <row r="37">
      <c r="A37" s="23" t="n">
        <v>21</v>
      </c>
      <c r="B37" s="24">
        <f>EDATE(TODAY(),A37)</f>
        <v/>
      </c>
      <c r="C37" s="25">
        <f>Inputs!$B$5+A37/12</f>
        <v/>
      </c>
      <c r="D37" s="15">
        <f>D36*(1+$B$8)^(1/12)+$B$10</f>
        <v/>
      </c>
      <c r="E37" s="15">
        <f>E36*(1+$B$9)^(1/12)</f>
        <v/>
      </c>
      <c r="F37" s="15">
        <f>D37+E37</f>
        <v/>
      </c>
      <c r="G37" s="15">
        <f>$B$6</f>
        <v/>
      </c>
      <c r="H37" s="15">
        <f>$B$7</f>
        <v/>
      </c>
      <c r="I37" s="22">
        <f>IF(AND(F37&gt;=G37,D37&gt;=H37),"FI reached","")</f>
        <v/>
      </c>
      <c r="J37" s="22">
        <f>IF(A37=720,"60-year model limit","")</f>
        <v/>
      </c>
    </row>
    <row r="38">
      <c r="A38" s="23" t="n">
        <v>22</v>
      </c>
      <c r="B38" s="24">
        <f>EDATE(TODAY(),A38)</f>
        <v/>
      </c>
      <c r="C38" s="25">
        <f>Inputs!$B$5+A38/12</f>
        <v/>
      </c>
      <c r="D38" s="15">
        <f>D37*(1+$B$8)^(1/12)+$B$10</f>
        <v/>
      </c>
      <c r="E38" s="15">
        <f>E37*(1+$B$9)^(1/12)</f>
        <v/>
      </c>
      <c r="F38" s="15">
        <f>D38+E38</f>
        <v/>
      </c>
      <c r="G38" s="15">
        <f>$B$6</f>
        <v/>
      </c>
      <c r="H38" s="15">
        <f>$B$7</f>
        <v/>
      </c>
      <c r="I38" s="22">
        <f>IF(AND(F38&gt;=G38,D38&gt;=H38),"FI reached","")</f>
        <v/>
      </c>
      <c r="J38" s="22">
        <f>IF(A38=720,"60-year model limit","")</f>
        <v/>
      </c>
    </row>
    <row r="39">
      <c r="A39" s="23" t="n">
        <v>23</v>
      </c>
      <c r="B39" s="24">
        <f>EDATE(TODAY(),A39)</f>
        <v/>
      </c>
      <c r="C39" s="25">
        <f>Inputs!$B$5+A39/12</f>
        <v/>
      </c>
      <c r="D39" s="15">
        <f>D38*(1+$B$8)^(1/12)+$B$10</f>
        <v/>
      </c>
      <c r="E39" s="15">
        <f>E38*(1+$B$9)^(1/12)</f>
        <v/>
      </c>
      <c r="F39" s="15">
        <f>D39+E39</f>
        <v/>
      </c>
      <c r="G39" s="15">
        <f>$B$6</f>
        <v/>
      </c>
      <c r="H39" s="15">
        <f>$B$7</f>
        <v/>
      </c>
      <c r="I39" s="22">
        <f>IF(AND(F39&gt;=G39,D39&gt;=H39),"FI reached","")</f>
        <v/>
      </c>
      <c r="J39" s="22">
        <f>IF(A39=720,"60-year model limit","")</f>
        <v/>
      </c>
    </row>
    <row r="40">
      <c r="A40" s="23" t="n">
        <v>24</v>
      </c>
      <c r="B40" s="24">
        <f>EDATE(TODAY(),A40)</f>
        <v/>
      </c>
      <c r="C40" s="25">
        <f>Inputs!$B$5+A40/12</f>
        <v/>
      </c>
      <c r="D40" s="15">
        <f>D39*(1+$B$8)^(1/12)+$B$10</f>
        <v/>
      </c>
      <c r="E40" s="15">
        <f>E39*(1+$B$9)^(1/12)</f>
        <v/>
      </c>
      <c r="F40" s="15">
        <f>D40+E40</f>
        <v/>
      </c>
      <c r="G40" s="15">
        <f>$B$6</f>
        <v/>
      </c>
      <c r="H40" s="15">
        <f>$B$7</f>
        <v/>
      </c>
      <c r="I40" s="22">
        <f>IF(AND(F40&gt;=G40,D40&gt;=H40),"FI reached","")</f>
        <v/>
      </c>
      <c r="J40" s="22">
        <f>IF(A40=720,"60-year model limit","")</f>
        <v/>
      </c>
    </row>
    <row r="41">
      <c r="A41" s="23" t="n">
        <v>25</v>
      </c>
      <c r="B41" s="24">
        <f>EDATE(TODAY(),A41)</f>
        <v/>
      </c>
      <c r="C41" s="25">
        <f>Inputs!$B$5+A41/12</f>
        <v/>
      </c>
      <c r="D41" s="15">
        <f>D40*(1+$B$8)^(1/12)+$B$10</f>
        <v/>
      </c>
      <c r="E41" s="15">
        <f>E40*(1+$B$9)^(1/12)</f>
        <v/>
      </c>
      <c r="F41" s="15">
        <f>D41+E41</f>
        <v/>
      </c>
      <c r="G41" s="15">
        <f>$B$6</f>
        <v/>
      </c>
      <c r="H41" s="15">
        <f>$B$7</f>
        <v/>
      </c>
      <c r="I41" s="22">
        <f>IF(AND(F41&gt;=G41,D41&gt;=H41),"FI reached","")</f>
        <v/>
      </c>
      <c r="J41" s="22">
        <f>IF(A41=720,"60-year model limit","")</f>
        <v/>
      </c>
    </row>
    <row r="42">
      <c r="A42" s="23" t="n">
        <v>26</v>
      </c>
      <c r="B42" s="24">
        <f>EDATE(TODAY(),A42)</f>
        <v/>
      </c>
      <c r="C42" s="25">
        <f>Inputs!$B$5+A42/12</f>
        <v/>
      </c>
      <c r="D42" s="15">
        <f>D41*(1+$B$8)^(1/12)+$B$10</f>
        <v/>
      </c>
      <c r="E42" s="15">
        <f>E41*(1+$B$9)^(1/12)</f>
        <v/>
      </c>
      <c r="F42" s="15">
        <f>D42+E42</f>
        <v/>
      </c>
      <c r="G42" s="15">
        <f>$B$6</f>
        <v/>
      </c>
      <c r="H42" s="15">
        <f>$B$7</f>
        <v/>
      </c>
      <c r="I42" s="22">
        <f>IF(AND(F42&gt;=G42,D42&gt;=H42),"FI reached","")</f>
        <v/>
      </c>
      <c r="J42" s="22">
        <f>IF(A42=720,"60-year model limit","")</f>
        <v/>
      </c>
    </row>
    <row r="43">
      <c r="A43" s="23" t="n">
        <v>27</v>
      </c>
      <c r="B43" s="24">
        <f>EDATE(TODAY(),A43)</f>
        <v/>
      </c>
      <c r="C43" s="25">
        <f>Inputs!$B$5+A43/12</f>
        <v/>
      </c>
      <c r="D43" s="15">
        <f>D42*(1+$B$8)^(1/12)+$B$10</f>
        <v/>
      </c>
      <c r="E43" s="15">
        <f>E42*(1+$B$9)^(1/12)</f>
        <v/>
      </c>
      <c r="F43" s="15">
        <f>D43+E43</f>
        <v/>
      </c>
      <c r="G43" s="15">
        <f>$B$6</f>
        <v/>
      </c>
      <c r="H43" s="15">
        <f>$B$7</f>
        <v/>
      </c>
      <c r="I43" s="22">
        <f>IF(AND(F43&gt;=G43,D43&gt;=H43),"FI reached","")</f>
        <v/>
      </c>
      <c r="J43" s="22">
        <f>IF(A43=720,"60-year model limit","")</f>
        <v/>
      </c>
    </row>
    <row r="44">
      <c r="A44" s="23" t="n">
        <v>28</v>
      </c>
      <c r="B44" s="24">
        <f>EDATE(TODAY(),A44)</f>
        <v/>
      </c>
      <c r="C44" s="25">
        <f>Inputs!$B$5+A44/12</f>
        <v/>
      </c>
      <c r="D44" s="15">
        <f>D43*(1+$B$8)^(1/12)+$B$10</f>
        <v/>
      </c>
      <c r="E44" s="15">
        <f>E43*(1+$B$9)^(1/12)</f>
        <v/>
      </c>
      <c r="F44" s="15">
        <f>D44+E44</f>
        <v/>
      </c>
      <c r="G44" s="15">
        <f>$B$6</f>
        <v/>
      </c>
      <c r="H44" s="15">
        <f>$B$7</f>
        <v/>
      </c>
      <c r="I44" s="22">
        <f>IF(AND(F44&gt;=G44,D44&gt;=H44),"FI reached","")</f>
        <v/>
      </c>
      <c r="J44" s="22">
        <f>IF(A44=720,"60-year model limit","")</f>
        <v/>
      </c>
    </row>
    <row r="45">
      <c r="A45" s="23" t="n">
        <v>29</v>
      </c>
      <c r="B45" s="24">
        <f>EDATE(TODAY(),A45)</f>
        <v/>
      </c>
      <c r="C45" s="25">
        <f>Inputs!$B$5+A45/12</f>
        <v/>
      </c>
      <c r="D45" s="15">
        <f>D44*(1+$B$8)^(1/12)+$B$10</f>
        <v/>
      </c>
      <c r="E45" s="15">
        <f>E44*(1+$B$9)^(1/12)</f>
        <v/>
      </c>
      <c r="F45" s="15">
        <f>D45+E45</f>
        <v/>
      </c>
      <c r="G45" s="15">
        <f>$B$6</f>
        <v/>
      </c>
      <c r="H45" s="15">
        <f>$B$7</f>
        <v/>
      </c>
      <c r="I45" s="22">
        <f>IF(AND(F45&gt;=G45,D45&gt;=H45),"FI reached","")</f>
        <v/>
      </c>
      <c r="J45" s="22">
        <f>IF(A45=720,"60-year model limit","")</f>
        <v/>
      </c>
    </row>
    <row r="46">
      <c r="A46" s="23" t="n">
        <v>30</v>
      </c>
      <c r="B46" s="24">
        <f>EDATE(TODAY(),A46)</f>
        <v/>
      </c>
      <c r="C46" s="25">
        <f>Inputs!$B$5+A46/12</f>
        <v/>
      </c>
      <c r="D46" s="15">
        <f>D45*(1+$B$8)^(1/12)+$B$10</f>
        <v/>
      </c>
      <c r="E46" s="15">
        <f>E45*(1+$B$9)^(1/12)</f>
        <v/>
      </c>
      <c r="F46" s="15">
        <f>D46+E46</f>
        <v/>
      </c>
      <c r="G46" s="15">
        <f>$B$6</f>
        <v/>
      </c>
      <c r="H46" s="15">
        <f>$B$7</f>
        <v/>
      </c>
      <c r="I46" s="22">
        <f>IF(AND(F46&gt;=G46,D46&gt;=H46),"FI reached","")</f>
        <v/>
      </c>
      <c r="J46" s="22">
        <f>IF(A46=720,"60-year model limit","")</f>
        <v/>
      </c>
    </row>
    <row r="47">
      <c r="A47" s="23" t="n">
        <v>31</v>
      </c>
      <c r="B47" s="24">
        <f>EDATE(TODAY(),A47)</f>
        <v/>
      </c>
      <c r="C47" s="25">
        <f>Inputs!$B$5+A47/12</f>
        <v/>
      </c>
      <c r="D47" s="15">
        <f>D46*(1+$B$8)^(1/12)+$B$10</f>
        <v/>
      </c>
      <c r="E47" s="15">
        <f>E46*(1+$B$9)^(1/12)</f>
        <v/>
      </c>
      <c r="F47" s="15">
        <f>D47+E47</f>
        <v/>
      </c>
      <c r="G47" s="15">
        <f>$B$6</f>
        <v/>
      </c>
      <c r="H47" s="15">
        <f>$B$7</f>
        <v/>
      </c>
      <c r="I47" s="22">
        <f>IF(AND(F47&gt;=G47,D47&gt;=H47),"FI reached","")</f>
        <v/>
      </c>
      <c r="J47" s="22">
        <f>IF(A47=720,"60-year model limit","")</f>
        <v/>
      </c>
    </row>
    <row r="48">
      <c r="A48" s="23" t="n">
        <v>32</v>
      </c>
      <c r="B48" s="24">
        <f>EDATE(TODAY(),A48)</f>
        <v/>
      </c>
      <c r="C48" s="25">
        <f>Inputs!$B$5+A48/12</f>
        <v/>
      </c>
      <c r="D48" s="15">
        <f>D47*(1+$B$8)^(1/12)+$B$10</f>
        <v/>
      </c>
      <c r="E48" s="15">
        <f>E47*(1+$B$9)^(1/12)</f>
        <v/>
      </c>
      <c r="F48" s="15">
        <f>D48+E48</f>
        <v/>
      </c>
      <c r="G48" s="15">
        <f>$B$6</f>
        <v/>
      </c>
      <c r="H48" s="15">
        <f>$B$7</f>
        <v/>
      </c>
      <c r="I48" s="22">
        <f>IF(AND(F48&gt;=G48,D48&gt;=H48),"FI reached","")</f>
        <v/>
      </c>
      <c r="J48" s="22">
        <f>IF(A48=720,"60-year model limit","")</f>
        <v/>
      </c>
    </row>
    <row r="49">
      <c r="A49" s="23" t="n">
        <v>33</v>
      </c>
      <c r="B49" s="24">
        <f>EDATE(TODAY(),A49)</f>
        <v/>
      </c>
      <c r="C49" s="25">
        <f>Inputs!$B$5+A49/12</f>
        <v/>
      </c>
      <c r="D49" s="15">
        <f>D48*(1+$B$8)^(1/12)+$B$10</f>
        <v/>
      </c>
      <c r="E49" s="15">
        <f>E48*(1+$B$9)^(1/12)</f>
        <v/>
      </c>
      <c r="F49" s="15">
        <f>D49+E49</f>
        <v/>
      </c>
      <c r="G49" s="15">
        <f>$B$6</f>
        <v/>
      </c>
      <c r="H49" s="15">
        <f>$B$7</f>
        <v/>
      </c>
      <c r="I49" s="22">
        <f>IF(AND(F49&gt;=G49,D49&gt;=H49),"FI reached","")</f>
        <v/>
      </c>
      <c r="J49" s="22">
        <f>IF(A49=720,"60-year model limit","")</f>
        <v/>
      </c>
    </row>
    <row r="50">
      <c r="A50" s="23" t="n">
        <v>34</v>
      </c>
      <c r="B50" s="24">
        <f>EDATE(TODAY(),A50)</f>
        <v/>
      </c>
      <c r="C50" s="25">
        <f>Inputs!$B$5+A50/12</f>
        <v/>
      </c>
      <c r="D50" s="15">
        <f>D49*(1+$B$8)^(1/12)+$B$10</f>
        <v/>
      </c>
      <c r="E50" s="15">
        <f>E49*(1+$B$9)^(1/12)</f>
        <v/>
      </c>
      <c r="F50" s="15">
        <f>D50+E50</f>
        <v/>
      </c>
      <c r="G50" s="15">
        <f>$B$6</f>
        <v/>
      </c>
      <c r="H50" s="15">
        <f>$B$7</f>
        <v/>
      </c>
      <c r="I50" s="22">
        <f>IF(AND(F50&gt;=G50,D50&gt;=H50),"FI reached","")</f>
        <v/>
      </c>
      <c r="J50" s="22">
        <f>IF(A50=720,"60-year model limit","")</f>
        <v/>
      </c>
    </row>
    <row r="51">
      <c r="A51" s="23" t="n">
        <v>35</v>
      </c>
      <c r="B51" s="24">
        <f>EDATE(TODAY(),A51)</f>
        <v/>
      </c>
      <c r="C51" s="25">
        <f>Inputs!$B$5+A51/12</f>
        <v/>
      </c>
      <c r="D51" s="15">
        <f>D50*(1+$B$8)^(1/12)+$B$10</f>
        <v/>
      </c>
      <c r="E51" s="15">
        <f>E50*(1+$B$9)^(1/12)</f>
        <v/>
      </c>
      <c r="F51" s="15">
        <f>D51+E51</f>
        <v/>
      </c>
      <c r="G51" s="15">
        <f>$B$6</f>
        <v/>
      </c>
      <c r="H51" s="15">
        <f>$B$7</f>
        <v/>
      </c>
      <c r="I51" s="22">
        <f>IF(AND(F51&gt;=G51,D51&gt;=H51),"FI reached","")</f>
        <v/>
      </c>
      <c r="J51" s="22">
        <f>IF(A51=720,"60-year model limit","")</f>
        <v/>
      </c>
    </row>
    <row r="52">
      <c r="A52" s="23" t="n">
        <v>36</v>
      </c>
      <c r="B52" s="24">
        <f>EDATE(TODAY(),A52)</f>
        <v/>
      </c>
      <c r="C52" s="25">
        <f>Inputs!$B$5+A52/12</f>
        <v/>
      </c>
      <c r="D52" s="15">
        <f>D51*(1+$B$8)^(1/12)+$B$10</f>
        <v/>
      </c>
      <c r="E52" s="15">
        <f>E51*(1+$B$9)^(1/12)</f>
        <v/>
      </c>
      <c r="F52" s="15">
        <f>D52+E52</f>
        <v/>
      </c>
      <c r="G52" s="15">
        <f>$B$6</f>
        <v/>
      </c>
      <c r="H52" s="15">
        <f>$B$7</f>
        <v/>
      </c>
      <c r="I52" s="22">
        <f>IF(AND(F52&gt;=G52,D52&gt;=H52),"FI reached","")</f>
        <v/>
      </c>
      <c r="J52" s="22">
        <f>IF(A52=720,"60-year model limit","")</f>
        <v/>
      </c>
    </row>
    <row r="53">
      <c r="A53" s="23" t="n">
        <v>37</v>
      </c>
      <c r="B53" s="24">
        <f>EDATE(TODAY(),A53)</f>
        <v/>
      </c>
      <c r="C53" s="25">
        <f>Inputs!$B$5+A53/12</f>
        <v/>
      </c>
      <c r="D53" s="15">
        <f>D52*(1+$B$8)^(1/12)+$B$10</f>
        <v/>
      </c>
      <c r="E53" s="15">
        <f>E52*(1+$B$9)^(1/12)</f>
        <v/>
      </c>
      <c r="F53" s="15">
        <f>D53+E53</f>
        <v/>
      </c>
      <c r="G53" s="15">
        <f>$B$6</f>
        <v/>
      </c>
      <c r="H53" s="15">
        <f>$B$7</f>
        <v/>
      </c>
      <c r="I53" s="22">
        <f>IF(AND(F53&gt;=G53,D53&gt;=H53),"FI reached","")</f>
        <v/>
      </c>
      <c r="J53" s="22">
        <f>IF(A53=720,"60-year model limit","")</f>
        <v/>
      </c>
    </row>
    <row r="54">
      <c r="A54" s="23" t="n">
        <v>38</v>
      </c>
      <c r="B54" s="24">
        <f>EDATE(TODAY(),A54)</f>
        <v/>
      </c>
      <c r="C54" s="25">
        <f>Inputs!$B$5+A54/12</f>
        <v/>
      </c>
      <c r="D54" s="15">
        <f>D53*(1+$B$8)^(1/12)+$B$10</f>
        <v/>
      </c>
      <c r="E54" s="15">
        <f>E53*(1+$B$9)^(1/12)</f>
        <v/>
      </c>
      <c r="F54" s="15">
        <f>D54+E54</f>
        <v/>
      </c>
      <c r="G54" s="15">
        <f>$B$6</f>
        <v/>
      </c>
      <c r="H54" s="15">
        <f>$B$7</f>
        <v/>
      </c>
      <c r="I54" s="22">
        <f>IF(AND(F54&gt;=G54,D54&gt;=H54),"FI reached","")</f>
        <v/>
      </c>
      <c r="J54" s="22">
        <f>IF(A54=720,"60-year model limit","")</f>
        <v/>
      </c>
    </row>
    <row r="55">
      <c r="A55" s="23" t="n">
        <v>39</v>
      </c>
      <c r="B55" s="24">
        <f>EDATE(TODAY(),A55)</f>
        <v/>
      </c>
      <c r="C55" s="25">
        <f>Inputs!$B$5+A55/12</f>
        <v/>
      </c>
      <c r="D55" s="15">
        <f>D54*(1+$B$8)^(1/12)+$B$10</f>
        <v/>
      </c>
      <c r="E55" s="15">
        <f>E54*(1+$B$9)^(1/12)</f>
        <v/>
      </c>
      <c r="F55" s="15">
        <f>D55+E55</f>
        <v/>
      </c>
      <c r="G55" s="15">
        <f>$B$6</f>
        <v/>
      </c>
      <c r="H55" s="15">
        <f>$B$7</f>
        <v/>
      </c>
      <c r="I55" s="22">
        <f>IF(AND(F55&gt;=G55,D55&gt;=H55),"FI reached","")</f>
        <v/>
      </c>
      <c r="J55" s="22">
        <f>IF(A55=720,"60-year model limit","")</f>
        <v/>
      </c>
    </row>
    <row r="56">
      <c r="A56" s="23" t="n">
        <v>40</v>
      </c>
      <c r="B56" s="24">
        <f>EDATE(TODAY(),A56)</f>
        <v/>
      </c>
      <c r="C56" s="25">
        <f>Inputs!$B$5+A56/12</f>
        <v/>
      </c>
      <c r="D56" s="15">
        <f>D55*(1+$B$8)^(1/12)+$B$10</f>
        <v/>
      </c>
      <c r="E56" s="15">
        <f>E55*(1+$B$9)^(1/12)</f>
        <v/>
      </c>
      <c r="F56" s="15">
        <f>D56+E56</f>
        <v/>
      </c>
      <c r="G56" s="15">
        <f>$B$6</f>
        <v/>
      </c>
      <c r="H56" s="15">
        <f>$B$7</f>
        <v/>
      </c>
      <c r="I56" s="22">
        <f>IF(AND(F56&gt;=G56,D56&gt;=H56),"FI reached","")</f>
        <v/>
      </c>
      <c r="J56" s="22">
        <f>IF(A56=720,"60-year model limit","")</f>
        <v/>
      </c>
    </row>
    <row r="57">
      <c r="A57" s="23" t="n">
        <v>41</v>
      </c>
      <c r="B57" s="24">
        <f>EDATE(TODAY(),A57)</f>
        <v/>
      </c>
      <c r="C57" s="25">
        <f>Inputs!$B$5+A57/12</f>
        <v/>
      </c>
      <c r="D57" s="15">
        <f>D56*(1+$B$8)^(1/12)+$B$10</f>
        <v/>
      </c>
      <c r="E57" s="15">
        <f>E56*(1+$B$9)^(1/12)</f>
        <v/>
      </c>
      <c r="F57" s="15">
        <f>D57+E57</f>
        <v/>
      </c>
      <c r="G57" s="15">
        <f>$B$6</f>
        <v/>
      </c>
      <c r="H57" s="15">
        <f>$B$7</f>
        <v/>
      </c>
      <c r="I57" s="22">
        <f>IF(AND(F57&gt;=G57,D57&gt;=H57),"FI reached","")</f>
        <v/>
      </c>
      <c r="J57" s="22">
        <f>IF(A57=720,"60-year model limit","")</f>
        <v/>
      </c>
    </row>
    <row r="58">
      <c r="A58" s="23" t="n">
        <v>42</v>
      </c>
      <c r="B58" s="24">
        <f>EDATE(TODAY(),A58)</f>
        <v/>
      </c>
      <c r="C58" s="25">
        <f>Inputs!$B$5+A58/12</f>
        <v/>
      </c>
      <c r="D58" s="15">
        <f>D57*(1+$B$8)^(1/12)+$B$10</f>
        <v/>
      </c>
      <c r="E58" s="15">
        <f>E57*(1+$B$9)^(1/12)</f>
        <v/>
      </c>
      <c r="F58" s="15">
        <f>D58+E58</f>
        <v/>
      </c>
      <c r="G58" s="15">
        <f>$B$6</f>
        <v/>
      </c>
      <c r="H58" s="15">
        <f>$B$7</f>
        <v/>
      </c>
      <c r="I58" s="22">
        <f>IF(AND(F58&gt;=G58,D58&gt;=H58),"FI reached","")</f>
        <v/>
      </c>
      <c r="J58" s="22">
        <f>IF(A58=720,"60-year model limit","")</f>
        <v/>
      </c>
    </row>
    <row r="59">
      <c r="A59" s="23" t="n">
        <v>43</v>
      </c>
      <c r="B59" s="24">
        <f>EDATE(TODAY(),A59)</f>
        <v/>
      </c>
      <c r="C59" s="25">
        <f>Inputs!$B$5+A59/12</f>
        <v/>
      </c>
      <c r="D59" s="15">
        <f>D58*(1+$B$8)^(1/12)+$B$10</f>
        <v/>
      </c>
      <c r="E59" s="15">
        <f>E58*(1+$B$9)^(1/12)</f>
        <v/>
      </c>
      <c r="F59" s="15">
        <f>D59+E59</f>
        <v/>
      </c>
      <c r="G59" s="15">
        <f>$B$6</f>
        <v/>
      </c>
      <c r="H59" s="15">
        <f>$B$7</f>
        <v/>
      </c>
      <c r="I59" s="22">
        <f>IF(AND(F59&gt;=G59,D59&gt;=H59),"FI reached","")</f>
        <v/>
      </c>
      <c r="J59" s="22">
        <f>IF(A59=720,"60-year model limit","")</f>
        <v/>
      </c>
    </row>
    <row r="60">
      <c r="A60" s="23" t="n">
        <v>44</v>
      </c>
      <c r="B60" s="24">
        <f>EDATE(TODAY(),A60)</f>
        <v/>
      </c>
      <c r="C60" s="25">
        <f>Inputs!$B$5+A60/12</f>
        <v/>
      </c>
      <c r="D60" s="15">
        <f>D59*(1+$B$8)^(1/12)+$B$10</f>
        <v/>
      </c>
      <c r="E60" s="15">
        <f>E59*(1+$B$9)^(1/12)</f>
        <v/>
      </c>
      <c r="F60" s="15">
        <f>D60+E60</f>
        <v/>
      </c>
      <c r="G60" s="15">
        <f>$B$6</f>
        <v/>
      </c>
      <c r="H60" s="15">
        <f>$B$7</f>
        <v/>
      </c>
      <c r="I60" s="22">
        <f>IF(AND(F60&gt;=G60,D60&gt;=H60),"FI reached","")</f>
        <v/>
      </c>
      <c r="J60" s="22">
        <f>IF(A60=720,"60-year model limit","")</f>
        <v/>
      </c>
    </row>
    <row r="61">
      <c r="A61" s="23" t="n">
        <v>45</v>
      </c>
      <c r="B61" s="24">
        <f>EDATE(TODAY(),A61)</f>
        <v/>
      </c>
      <c r="C61" s="25">
        <f>Inputs!$B$5+A61/12</f>
        <v/>
      </c>
      <c r="D61" s="15">
        <f>D60*(1+$B$8)^(1/12)+$B$10</f>
        <v/>
      </c>
      <c r="E61" s="15">
        <f>E60*(1+$B$9)^(1/12)</f>
        <v/>
      </c>
      <c r="F61" s="15">
        <f>D61+E61</f>
        <v/>
      </c>
      <c r="G61" s="15">
        <f>$B$6</f>
        <v/>
      </c>
      <c r="H61" s="15">
        <f>$B$7</f>
        <v/>
      </c>
      <c r="I61" s="22">
        <f>IF(AND(F61&gt;=G61,D61&gt;=H61),"FI reached","")</f>
        <v/>
      </c>
      <c r="J61" s="22">
        <f>IF(A61=720,"60-year model limit","")</f>
        <v/>
      </c>
    </row>
    <row r="62">
      <c r="A62" s="23" t="n">
        <v>46</v>
      </c>
      <c r="B62" s="24">
        <f>EDATE(TODAY(),A62)</f>
        <v/>
      </c>
      <c r="C62" s="25">
        <f>Inputs!$B$5+A62/12</f>
        <v/>
      </c>
      <c r="D62" s="15">
        <f>D61*(1+$B$8)^(1/12)+$B$10</f>
        <v/>
      </c>
      <c r="E62" s="15">
        <f>E61*(1+$B$9)^(1/12)</f>
        <v/>
      </c>
      <c r="F62" s="15">
        <f>D62+E62</f>
        <v/>
      </c>
      <c r="G62" s="15">
        <f>$B$6</f>
        <v/>
      </c>
      <c r="H62" s="15">
        <f>$B$7</f>
        <v/>
      </c>
      <c r="I62" s="22">
        <f>IF(AND(F62&gt;=G62,D62&gt;=H62),"FI reached","")</f>
        <v/>
      </c>
      <c r="J62" s="22">
        <f>IF(A62=720,"60-year model limit","")</f>
        <v/>
      </c>
    </row>
    <row r="63">
      <c r="A63" s="23" t="n">
        <v>47</v>
      </c>
      <c r="B63" s="24">
        <f>EDATE(TODAY(),A63)</f>
        <v/>
      </c>
      <c r="C63" s="25">
        <f>Inputs!$B$5+A63/12</f>
        <v/>
      </c>
      <c r="D63" s="15">
        <f>D62*(1+$B$8)^(1/12)+$B$10</f>
        <v/>
      </c>
      <c r="E63" s="15">
        <f>E62*(1+$B$9)^(1/12)</f>
        <v/>
      </c>
      <c r="F63" s="15">
        <f>D63+E63</f>
        <v/>
      </c>
      <c r="G63" s="15">
        <f>$B$6</f>
        <v/>
      </c>
      <c r="H63" s="15">
        <f>$B$7</f>
        <v/>
      </c>
      <c r="I63" s="22">
        <f>IF(AND(F63&gt;=G63,D63&gt;=H63),"FI reached","")</f>
        <v/>
      </c>
      <c r="J63" s="22">
        <f>IF(A63=720,"60-year model limit","")</f>
        <v/>
      </c>
    </row>
    <row r="64">
      <c r="A64" s="23" t="n">
        <v>48</v>
      </c>
      <c r="B64" s="24">
        <f>EDATE(TODAY(),A64)</f>
        <v/>
      </c>
      <c r="C64" s="25">
        <f>Inputs!$B$5+A64/12</f>
        <v/>
      </c>
      <c r="D64" s="15">
        <f>D63*(1+$B$8)^(1/12)+$B$10</f>
        <v/>
      </c>
      <c r="E64" s="15">
        <f>E63*(1+$B$9)^(1/12)</f>
        <v/>
      </c>
      <c r="F64" s="15">
        <f>D64+E64</f>
        <v/>
      </c>
      <c r="G64" s="15">
        <f>$B$6</f>
        <v/>
      </c>
      <c r="H64" s="15">
        <f>$B$7</f>
        <v/>
      </c>
      <c r="I64" s="22">
        <f>IF(AND(F64&gt;=G64,D64&gt;=H64),"FI reached","")</f>
        <v/>
      </c>
      <c r="J64" s="22">
        <f>IF(A64=720,"60-year model limit","")</f>
        <v/>
      </c>
    </row>
    <row r="65">
      <c r="A65" s="23" t="n">
        <v>49</v>
      </c>
      <c r="B65" s="24">
        <f>EDATE(TODAY(),A65)</f>
        <v/>
      </c>
      <c r="C65" s="25">
        <f>Inputs!$B$5+A65/12</f>
        <v/>
      </c>
      <c r="D65" s="15">
        <f>D64*(1+$B$8)^(1/12)+$B$10</f>
        <v/>
      </c>
      <c r="E65" s="15">
        <f>E64*(1+$B$9)^(1/12)</f>
        <v/>
      </c>
      <c r="F65" s="15">
        <f>D65+E65</f>
        <v/>
      </c>
      <c r="G65" s="15">
        <f>$B$6</f>
        <v/>
      </c>
      <c r="H65" s="15">
        <f>$B$7</f>
        <v/>
      </c>
      <c r="I65" s="22">
        <f>IF(AND(F65&gt;=G65,D65&gt;=H65),"FI reached","")</f>
        <v/>
      </c>
      <c r="J65" s="22">
        <f>IF(A65=720,"60-year model limit","")</f>
        <v/>
      </c>
    </row>
    <row r="66">
      <c r="A66" s="23" t="n">
        <v>50</v>
      </c>
      <c r="B66" s="24">
        <f>EDATE(TODAY(),A66)</f>
        <v/>
      </c>
      <c r="C66" s="25">
        <f>Inputs!$B$5+A66/12</f>
        <v/>
      </c>
      <c r="D66" s="15">
        <f>D65*(1+$B$8)^(1/12)+$B$10</f>
        <v/>
      </c>
      <c r="E66" s="15">
        <f>E65*(1+$B$9)^(1/12)</f>
        <v/>
      </c>
      <c r="F66" s="15">
        <f>D66+E66</f>
        <v/>
      </c>
      <c r="G66" s="15">
        <f>$B$6</f>
        <v/>
      </c>
      <c r="H66" s="15">
        <f>$B$7</f>
        <v/>
      </c>
      <c r="I66" s="22">
        <f>IF(AND(F66&gt;=G66,D66&gt;=H66),"FI reached","")</f>
        <v/>
      </c>
      <c r="J66" s="22">
        <f>IF(A66=720,"60-year model limit","")</f>
        <v/>
      </c>
    </row>
    <row r="67">
      <c r="A67" s="23" t="n">
        <v>51</v>
      </c>
      <c r="B67" s="24">
        <f>EDATE(TODAY(),A67)</f>
        <v/>
      </c>
      <c r="C67" s="25">
        <f>Inputs!$B$5+A67/12</f>
        <v/>
      </c>
      <c r="D67" s="15">
        <f>D66*(1+$B$8)^(1/12)+$B$10</f>
        <v/>
      </c>
      <c r="E67" s="15">
        <f>E66*(1+$B$9)^(1/12)</f>
        <v/>
      </c>
      <c r="F67" s="15">
        <f>D67+E67</f>
        <v/>
      </c>
      <c r="G67" s="15">
        <f>$B$6</f>
        <v/>
      </c>
      <c r="H67" s="15">
        <f>$B$7</f>
        <v/>
      </c>
      <c r="I67" s="22">
        <f>IF(AND(F67&gt;=G67,D67&gt;=H67),"FI reached","")</f>
        <v/>
      </c>
      <c r="J67" s="22">
        <f>IF(A67=720,"60-year model limit","")</f>
        <v/>
      </c>
    </row>
    <row r="68">
      <c r="A68" s="23" t="n">
        <v>52</v>
      </c>
      <c r="B68" s="24">
        <f>EDATE(TODAY(),A68)</f>
        <v/>
      </c>
      <c r="C68" s="25">
        <f>Inputs!$B$5+A68/12</f>
        <v/>
      </c>
      <c r="D68" s="15">
        <f>D67*(1+$B$8)^(1/12)+$B$10</f>
        <v/>
      </c>
      <c r="E68" s="15">
        <f>E67*(1+$B$9)^(1/12)</f>
        <v/>
      </c>
      <c r="F68" s="15">
        <f>D68+E68</f>
        <v/>
      </c>
      <c r="G68" s="15">
        <f>$B$6</f>
        <v/>
      </c>
      <c r="H68" s="15">
        <f>$B$7</f>
        <v/>
      </c>
      <c r="I68" s="22">
        <f>IF(AND(F68&gt;=G68,D68&gt;=H68),"FI reached","")</f>
        <v/>
      </c>
      <c r="J68" s="22">
        <f>IF(A68=720,"60-year model limit","")</f>
        <v/>
      </c>
    </row>
    <row r="69">
      <c r="A69" s="23" t="n">
        <v>53</v>
      </c>
      <c r="B69" s="24">
        <f>EDATE(TODAY(),A69)</f>
        <v/>
      </c>
      <c r="C69" s="25">
        <f>Inputs!$B$5+A69/12</f>
        <v/>
      </c>
      <c r="D69" s="15">
        <f>D68*(1+$B$8)^(1/12)+$B$10</f>
        <v/>
      </c>
      <c r="E69" s="15">
        <f>E68*(1+$B$9)^(1/12)</f>
        <v/>
      </c>
      <c r="F69" s="15">
        <f>D69+E69</f>
        <v/>
      </c>
      <c r="G69" s="15">
        <f>$B$6</f>
        <v/>
      </c>
      <c r="H69" s="15">
        <f>$B$7</f>
        <v/>
      </c>
      <c r="I69" s="22">
        <f>IF(AND(F69&gt;=G69,D69&gt;=H69),"FI reached","")</f>
        <v/>
      </c>
      <c r="J69" s="22">
        <f>IF(A69=720,"60-year model limit","")</f>
        <v/>
      </c>
    </row>
    <row r="70">
      <c r="A70" s="23" t="n">
        <v>54</v>
      </c>
      <c r="B70" s="24">
        <f>EDATE(TODAY(),A70)</f>
        <v/>
      </c>
      <c r="C70" s="25">
        <f>Inputs!$B$5+A70/12</f>
        <v/>
      </c>
      <c r="D70" s="15">
        <f>D69*(1+$B$8)^(1/12)+$B$10</f>
        <v/>
      </c>
      <c r="E70" s="15">
        <f>E69*(1+$B$9)^(1/12)</f>
        <v/>
      </c>
      <c r="F70" s="15">
        <f>D70+E70</f>
        <v/>
      </c>
      <c r="G70" s="15">
        <f>$B$6</f>
        <v/>
      </c>
      <c r="H70" s="15">
        <f>$B$7</f>
        <v/>
      </c>
      <c r="I70" s="22">
        <f>IF(AND(F70&gt;=G70,D70&gt;=H70),"FI reached","")</f>
        <v/>
      </c>
      <c r="J70" s="22">
        <f>IF(A70=720,"60-year model limit","")</f>
        <v/>
      </c>
    </row>
    <row r="71">
      <c r="A71" s="23" t="n">
        <v>55</v>
      </c>
      <c r="B71" s="24">
        <f>EDATE(TODAY(),A71)</f>
        <v/>
      </c>
      <c r="C71" s="25">
        <f>Inputs!$B$5+A71/12</f>
        <v/>
      </c>
      <c r="D71" s="15">
        <f>D70*(1+$B$8)^(1/12)+$B$10</f>
        <v/>
      </c>
      <c r="E71" s="15">
        <f>E70*(1+$B$9)^(1/12)</f>
        <v/>
      </c>
      <c r="F71" s="15">
        <f>D71+E71</f>
        <v/>
      </c>
      <c r="G71" s="15">
        <f>$B$6</f>
        <v/>
      </c>
      <c r="H71" s="15">
        <f>$B$7</f>
        <v/>
      </c>
      <c r="I71" s="22">
        <f>IF(AND(F71&gt;=G71,D71&gt;=H71),"FI reached","")</f>
        <v/>
      </c>
      <c r="J71" s="22">
        <f>IF(A71=720,"60-year model limit","")</f>
        <v/>
      </c>
    </row>
    <row r="72">
      <c r="A72" s="23" t="n">
        <v>56</v>
      </c>
      <c r="B72" s="24">
        <f>EDATE(TODAY(),A72)</f>
        <v/>
      </c>
      <c r="C72" s="25">
        <f>Inputs!$B$5+A72/12</f>
        <v/>
      </c>
      <c r="D72" s="15">
        <f>D71*(1+$B$8)^(1/12)+$B$10</f>
        <v/>
      </c>
      <c r="E72" s="15">
        <f>E71*(1+$B$9)^(1/12)</f>
        <v/>
      </c>
      <c r="F72" s="15">
        <f>D72+E72</f>
        <v/>
      </c>
      <c r="G72" s="15">
        <f>$B$6</f>
        <v/>
      </c>
      <c r="H72" s="15">
        <f>$B$7</f>
        <v/>
      </c>
      <c r="I72" s="22">
        <f>IF(AND(F72&gt;=G72,D72&gt;=H72),"FI reached","")</f>
        <v/>
      </c>
      <c r="J72" s="22">
        <f>IF(A72=720,"60-year model limit","")</f>
        <v/>
      </c>
    </row>
    <row r="73">
      <c r="A73" s="23" t="n">
        <v>57</v>
      </c>
      <c r="B73" s="24">
        <f>EDATE(TODAY(),A73)</f>
        <v/>
      </c>
      <c r="C73" s="25">
        <f>Inputs!$B$5+A73/12</f>
        <v/>
      </c>
      <c r="D73" s="15">
        <f>D72*(1+$B$8)^(1/12)+$B$10</f>
        <v/>
      </c>
      <c r="E73" s="15">
        <f>E72*(1+$B$9)^(1/12)</f>
        <v/>
      </c>
      <c r="F73" s="15">
        <f>D73+E73</f>
        <v/>
      </c>
      <c r="G73" s="15">
        <f>$B$6</f>
        <v/>
      </c>
      <c r="H73" s="15">
        <f>$B$7</f>
        <v/>
      </c>
      <c r="I73" s="22">
        <f>IF(AND(F73&gt;=G73,D73&gt;=H73),"FI reached","")</f>
        <v/>
      </c>
      <c r="J73" s="22">
        <f>IF(A73=720,"60-year model limit","")</f>
        <v/>
      </c>
    </row>
    <row r="74">
      <c r="A74" s="23" t="n">
        <v>58</v>
      </c>
      <c r="B74" s="24">
        <f>EDATE(TODAY(),A74)</f>
        <v/>
      </c>
      <c r="C74" s="25">
        <f>Inputs!$B$5+A74/12</f>
        <v/>
      </c>
      <c r="D74" s="15">
        <f>D73*(1+$B$8)^(1/12)+$B$10</f>
        <v/>
      </c>
      <c r="E74" s="15">
        <f>E73*(1+$B$9)^(1/12)</f>
        <v/>
      </c>
      <c r="F74" s="15">
        <f>D74+E74</f>
        <v/>
      </c>
      <c r="G74" s="15">
        <f>$B$6</f>
        <v/>
      </c>
      <c r="H74" s="15">
        <f>$B$7</f>
        <v/>
      </c>
      <c r="I74" s="22">
        <f>IF(AND(F74&gt;=G74,D74&gt;=H74),"FI reached","")</f>
        <v/>
      </c>
      <c r="J74" s="22">
        <f>IF(A74=720,"60-year model limit","")</f>
        <v/>
      </c>
    </row>
    <row r="75">
      <c r="A75" s="23" t="n">
        <v>59</v>
      </c>
      <c r="B75" s="24">
        <f>EDATE(TODAY(),A75)</f>
        <v/>
      </c>
      <c r="C75" s="25">
        <f>Inputs!$B$5+A75/12</f>
        <v/>
      </c>
      <c r="D75" s="15">
        <f>D74*(1+$B$8)^(1/12)+$B$10</f>
        <v/>
      </c>
      <c r="E75" s="15">
        <f>E74*(1+$B$9)^(1/12)</f>
        <v/>
      </c>
      <c r="F75" s="15">
        <f>D75+E75</f>
        <v/>
      </c>
      <c r="G75" s="15">
        <f>$B$6</f>
        <v/>
      </c>
      <c r="H75" s="15">
        <f>$B$7</f>
        <v/>
      </c>
      <c r="I75" s="22">
        <f>IF(AND(F75&gt;=G75,D75&gt;=H75),"FI reached","")</f>
        <v/>
      </c>
      <c r="J75" s="22">
        <f>IF(A75=720,"60-year model limit","")</f>
        <v/>
      </c>
    </row>
    <row r="76">
      <c r="A76" s="23" t="n">
        <v>60</v>
      </c>
      <c r="B76" s="24">
        <f>EDATE(TODAY(),A76)</f>
        <v/>
      </c>
      <c r="C76" s="25">
        <f>Inputs!$B$5+A76/12</f>
        <v/>
      </c>
      <c r="D76" s="15">
        <f>D75*(1+$B$8)^(1/12)+$B$10</f>
        <v/>
      </c>
      <c r="E76" s="15">
        <f>E75*(1+$B$9)^(1/12)</f>
        <v/>
      </c>
      <c r="F76" s="15">
        <f>D76+E76</f>
        <v/>
      </c>
      <c r="G76" s="15">
        <f>$B$6</f>
        <v/>
      </c>
      <c r="H76" s="15">
        <f>$B$7</f>
        <v/>
      </c>
      <c r="I76" s="22">
        <f>IF(AND(F76&gt;=G76,D76&gt;=H76),"FI reached","")</f>
        <v/>
      </c>
      <c r="J76" s="22">
        <f>IF(A76=720,"60-year model limit","")</f>
        <v/>
      </c>
    </row>
    <row r="77">
      <c r="A77" s="23" t="n">
        <v>61</v>
      </c>
      <c r="B77" s="24">
        <f>EDATE(TODAY(),A77)</f>
        <v/>
      </c>
      <c r="C77" s="25">
        <f>Inputs!$B$5+A77/12</f>
        <v/>
      </c>
      <c r="D77" s="15">
        <f>D76*(1+$B$8)^(1/12)+$B$10</f>
        <v/>
      </c>
      <c r="E77" s="15">
        <f>E76*(1+$B$9)^(1/12)</f>
        <v/>
      </c>
      <c r="F77" s="15">
        <f>D77+E77</f>
        <v/>
      </c>
      <c r="G77" s="15">
        <f>$B$6</f>
        <v/>
      </c>
      <c r="H77" s="15">
        <f>$B$7</f>
        <v/>
      </c>
      <c r="I77" s="22">
        <f>IF(AND(F77&gt;=G77,D77&gt;=H77),"FI reached","")</f>
        <v/>
      </c>
      <c r="J77" s="22">
        <f>IF(A77=720,"60-year model limit","")</f>
        <v/>
      </c>
    </row>
    <row r="78">
      <c r="A78" s="23" t="n">
        <v>62</v>
      </c>
      <c r="B78" s="24">
        <f>EDATE(TODAY(),A78)</f>
        <v/>
      </c>
      <c r="C78" s="25">
        <f>Inputs!$B$5+A78/12</f>
        <v/>
      </c>
      <c r="D78" s="15">
        <f>D77*(1+$B$8)^(1/12)+$B$10</f>
        <v/>
      </c>
      <c r="E78" s="15">
        <f>E77*(1+$B$9)^(1/12)</f>
        <v/>
      </c>
      <c r="F78" s="15">
        <f>D78+E78</f>
        <v/>
      </c>
      <c r="G78" s="15">
        <f>$B$6</f>
        <v/>
      </c>
      <c r="H78" s="15">
        <f>$B$7</f>
        <v/>
      </c>
      <c r="I78" s="22">
        <f>IF(AND(F78&gt;=G78,D78&gt;=H78),"FI reached","")</f>
        <v/>
      </c>
      <c r="J78" s="22">
        <f>IF(A78=720,"60-year model limit","")</f>
        <v/>
      </c>
    </row>
    <row r="79">
      <c r="A79" s="23" t="n">
        <v>63</v>
      </c>
      <c r="B79" s="24">
        <f>EDATE(TODAY(),A79)</f>
        <v/>
      </c>
      <c r="C79" s="25">
        <f>Inputs!$B$5+A79/12</f>
        <v/>
      </c>
      <c r="D79" s="15">
        <f>D78*(1+$B$8)^(1/12)+$B$10</f>
        <v/>
      </c>
      <c r="E79" s="15">
        <f>E78*(1+$B$9)^(1/12)</f>
        <v/>
      </c>
      <c r="F79" s="15">
        <f>D79+E79</f>
        <v/>
      </c>
      <c r="G79" s="15">
        <f>$B$6</f>
        <v/>
      </c>
      <c r="H79" s="15">
        <f>$B$7</f>
        <v/>
      </c>
      <c r="I79" s="22">
        <f>IF(AND(F79&gt;=G79,D79&gt;=H79),"FI reached","")</f>
        <v/>
      </c>
      <c r="J79" s="22">
        <f>IF(A79=720,"60-year model limit","")</f>
        <v/>
      </c>
    </row>
    <row r="80">
      <c r="A80" s="23" t="n">
        <v>64</v>
      </c>
      <c r="B80" s="24">
        <f>EDATE(TODAY(),A80)</f>
        <v/>
      </c>
      <c r="C80" s="25">
        <f>Inputs!$B$5+A80/12</f>
        <v/>
      </c>
      <c r="D80" s="15">
        <f>D79*(1+$B$8)^(1/12)+$B$10</f>
        <v/>
      </c>
      <c r="E80" s="15">
        <f>E79*(1+$B$9)^(1/12)</f>
        <v/>
      </c>
      <c r="F80" s="15">
        <f>D80+E80</f>
        <v/>
      </c>
      <c r="G80" s="15">
        <f>$B$6</f>
        <v/>
      </c>
      <c r="H80" s="15">
        <f>$B$7</f>
        <v/>
      </c>
      <c r="I80" s="22">
        <f>IF(AND(F80&gt;=G80,D80&gt;=H80),"FI reached","")</f>
        <v/>
      </c>
      <c r="J80" s="22">
        <f>IF(A80=720,"60-year model limit","")</f>
        <v/>
      </c>
    </row>
    <row r="81">
      <c r="A81" s="23" t="n">
        <v>65</v>
      </c>
      <c r="B81" s="24">
        <f>EDATE(TODAY(),A81)</f>
        <v/>
      </c>
      <c r="C81" s="25">
        <f>Inputs!$B$5+A81/12</f>
        <v/>
      </c>
      <c r="D81" s="15">
        <f>D80*(1+$B$8)^(1/12)+$B$10</f>
        <v/>
      </c>
      <c r="E81" s="15">
        <f>E80*(1+$B$9)^(1/12)</f>
        <v/>
      </c>
      <c r="F81" s="15">
        <f>D81+E81</f>
        <v/>
      </c>
      <c r="G81" s="15">
        <f>$B$6</f>
        <v/>
      </c>
      <c r="H81" s="15">
        <f>$B$7</f>
        <v/>
      </c>
      <c r="I81" s="22">
        <f>IF(AND(F81&gt;=G81,D81&gt;=H81),"FI reached","")</f>
        <v/>
      </c>
      <c r="J81" s="22">
        <f>IF(A81=720,"60-year model limit","")</f>
        <v/>
      </c>
    </row>
    <row r="82">
      <c r="A82" s="23" t="n">
        <v>66</v>
      </c>
      <c r="B82" s="24">
        <f>EDATE(TODAY(),A82)</f>
        <v/>
      </c>
      <c r="C82" s="25">
        <f>Inputs!$B$5+A82/12</f>
        <v/>
      </c>
      <c r="D82" s="15">
        <f>D81*(1+$B$8)^(1/12)+$B$10</f>
        <v/>
      </c>
      <c r="E82" s="15">
        <f>E81*(1+$B$9)^(1/12)</f>
        <v/>
      </c>
      <c r="F82" s="15">
        <f>D82+E82</f>
        <v/>
      </c>
      <c r="G82" s="15">
        <f>$B$6</f>
        <v/>
      </c>
      <c r="H82" s="15">
        <f>$B$7</f>
        <v/>
      </c>
      <c r="I82" s="22">
        <f>IF(AND(F82&gt;=G82,D82&gt;=H82),"FI reached","")</f>
        <v/>
      </c>
      <c r="J82" s="22">
        <f>IF(A82=720,"60-year model limit","")</f>
        <v/>
      </c>
    </row>
    <row r="83">
      <c r="A83" s="23" t="n">
        <v>67</v>
      </c>
      <c r="B83" s="24">
        <f>EDATE(TODAY(),A83)</f>
        <v/>
      </c>
      <c r="C83" s="25">
        <f>Inputs!$B$5+A83/12</f>
        <v/>
      </c>
      <c r="D83" s="15">
        <f>D82*(1+$B$8)^(1/12)+$B$10</f>
        <v/>
      </c>
      <c r="E83" s="15">
        <f>E82*(1+$B$9)^(1/12)</f>
        <v/>
      </c>
      <c r="F83" s="15">
        <f>D83+E83</f>
        <v/>
      </c>
      <c r="G83" s="15">
        <f>$B$6</f>
        <v/>
      </c>
      <c r="H83" s="15">
        <f>$B$7</f>
        <v/>
      </c>
      <c r="I83" s="22">
        <f>IF(AND(F83&gt;=G83,D83&gt;=H83),"FI reached","")</f>
        <v/>
      </c>
      <c r="J83" s="22">
        <f>IF(A83=720,"60-year model limit","")</f>
        <v/>
      </c>
    </row>
    <row r="84">
      <c r="A84" s="23" t="n">
        <v>68</v>
      </c>
      <c r="B84" s="24">
        <f>EDATE(TODAY(),A84)</f>
        <v/>
      </c>
      <c r="C84" s="25">
        <f>Inputs!$B$5+A84/12</f>
        <v/>
      </c>
      <c r="D84" s="15">
        <f>D83*(1+$B$8)^(1/12)+$B$10</f>
        <v/>
      </c>
      <c r="E84" s="15">
        <f>E83*(1+$B$9)^(1/12)</f>
        <v/>
      </c>
      <c r="F84" s="15">
        <f>D84+E84</f>
        <v/>
      </c>
      <c r="G84" s="15">
        <f>$B$6</f>
        <v/>
      </c>
      <c r="H84" s="15">
        <f>$B$7</f>
        <v/>
      </c>
      <c r="I84" s="22">
        <f>IF(AND(F84&gt;=G84,D84&gt;=H84),"FI reached","")</f>
        <v/>
      </c>
      <c r="J84" s="22">
        <f>IF(A84=720,"60-year model limit","")</f>
        <v/>
      </c>
    </row>
    <row r="85">
      <c r="A85" s="23" t="n">
        <v>69</v>
      </c>
      <c r="B85" s="24">
        <f>EDATE(TODAY(),A85)</f>
        <v/>
      </c>
      <c r="C85" s="25">
        <f>Inputs!$B$5+A85/12</f>
        <v/>
      </c>
      <c r="D85" s="15">
        <f>D84*(1+$B$8)^(1/12)+$B$10</f>
        <v/>
      </c>
      <c r="E85" s="15">
        <f>E84*(1+$B$9)^(1/12)</f>
        <v/>
      </c>
      <c r="F85" s="15">
        <f>D85+E85</f>
        <v/>
      </c>
      <c r="G85" s="15">
        <f>$B$6</f>
        <v/>
      </c>
      <c r="H85" s="15">
        <f>$B$7</f>
        <v/>
      </c>
      <c r="I85" s="22">
        <f>IF(AND(F85&gt;=G85,D85&gt;=H85),"FI reached","")</f>
        <v/>
      </c>
      <c r="J85" s="22">
        <f>IF(A85=720,"60-year model limit","")</f>
        <v/>
      </c>
    </row>
    <row r="86">
      <c r="A86" s="23" t="n">
        <v>70</v>
      </c>
      <c r="B86" s="24">
        <f>EDATE(TODAY(),A86)</f>
        <v/>
      </c>
      <c r="C86" s="25">
        <f>Inputs!$B$5+A86/12</f>
        <v/>
      </c>
      <c r="D86" s="15">
        <f>D85*(1+$B$8)^(1/12)+$B$10</f>
        <v/>
      </c>
      <c r="E86" s="15">
        <f>E85*(1+$B$9)^(1/12)</f>
        <v/>
      </c>
      <c r="F86" s="15">
        <f>D86+E86</f>
        <v/>
      </c>
      <c r="G86" s="15">
        <f>$B$6</f>
        <v/>
      </c>
      <c r="H86" s="15">
        <f>$B$7</f>
        <v/>
      </c>
      <c r="I86" s="22">
        <f>IF(AND(F86&gt;=G86,D86&gt;=H86),"FI reached","")</f>
        <v/>
      </c>
      <c r="J86" s="22">
        <f>IF(A86=720,"60-year model limit","")</f>
        <v/>
      </c>
    </row>
    <row r="87">
      <c r="A87" s="23" t="n">
        <v>71</v>
      </c>
      <c r="B87" s="24">
        <f>EDATE(TODAY(),A87)</f>
        <v/>
      </c>
      <c r="C87" s="25">
        <f>Inputs!$B$5+A87/12</f>
        <v/>
      </c>
      <c r="D87" s="15">
        <f>D86*(1+$B$8)^(1/12)+$B$10</f>
        <v/>
      </c>
      <c r="E87" s="15">
        <f>E86*(1+$B$9)^(1/12)</f>
        <v/>
      </c>
      <c r="F87" s="15">
        <f>D87+E87</f>
        <v/>
      </c>
      <c r="G87" s="15">
        <f>$B$6</f>
        <v/>
      </c>
      <c r="H87" s="15">
        <f>$B$7</f>
        <v/>
      </c>
      <c r="I87" s="22">
        <f>IF(AND(F87&gt;=G87,D87&gt;=H87),"FI reached","")</f>
        <v/>
      </c>
      <c r="J87" s="22">
        <f>IF(A87=720,"60-year model limit","")</f>
        <v/>
      </c>
    </row>
    <row r="88">
      <c r="A88" s="23" t="n">
        <v>72</v>
      </c>
      <c r="B88" s="24">
        <f>EDATE(TODAY(),A88)</f>
        <v/>
      </c>
      <c r="C88" s="25">
        <f>Inputs!$B$5+A88/12</f>
        <v/>
      </c>
      <c r="D88" s="15">
        <f>D87*(1+$B$8)^(1/12)+$B$10</f>
        <v/>
      </c>
      <c r="E88" s="15">
        <f>E87*(1+$B$9)^(1/12)</f>
        <v/>
      </c>
      <c r="F88" s="15">
        <f>D88+E88</f>
        <v/>
      </c>
      <c r="G88" s="15">
        <f>$B$6</f>
        <v/>
      </c>
      <c r="H88" s="15">
        <f>$B$7</f>
        <v/>
      </c>
      <c r="I88" s="22">
        <f>IF(AND(F88&gt;=G88,D88&gt;=H88),"FI reached","")</f>
        <v/>
      </c>
      <c r="J88" s="22">
        <f>IF(A88=720,"60-year model limit","")</f>
        <v/>
      </c>
    </row>
    <row r="89">
      <c r="A89" s="23" t="n">
        <v>73</v>
      </c>
      <c r="B89" s="24">
        <f>EDATE(TODAY(),A89)</f>
        <v/>
      </c>
      <c r="C89" s="25">
        <f>Inputs!$B$5+A89/12</f>
        <v/>
      </c>
      <c r="D89" s="15">
        <f>D88*(1+$B$8)^(1/12)+$B$10</f>
        <v/>
      </c>
      <c r="E89" s="15">
        <f>E88*(1+$B$9)^(1/12)</f>
        <v/>
      </c>
      <c r="F89" s="15">
        <f>D89+E89</f>
        <v/>
      </c>
      <c r="G89" s="15">
        <f>$B$6</f>
        <v/>
      </c>
      <c r="H89" s="15">
        <f>$B$7</f>
        <v/>
      </c>
      <c r="I89" s="22">
        <f>IF(AND(F89&gt;=G89,D89&gt;=H89),"FI reached","")</f>
        <v/>
      </c>
      <c r="J89" s="22">
        <f>IF(A89=720,"60-year model limit","")</f>
        <v/>
      </c>
    </row>
    <row r="90">
      <c r="A90" s="23" t="n">
        <v>74</v>
      </c>
      <c r="B90" s="24">
        <f>EDATE(TODAY(),A90)</f>
        <v/>
      </c>
      <c r="C90" s="25">
        <f>Inputs!$B$5+A90/12</f>
        <v/>
      </c>
      <c r="D90" s="15">
        <f>D89*(1+$B$8)^(1/12)+$B$10</f>
        <v/>
      </c>
      <c r="E90" s="15">
        <f>E89*(1+$B$9)^(1/12)</f>
        <v/>
      </c>
      <c r="F90" s="15">
        <f>D90+E90</f>
        <v/>
      </c>
      <c r="G90" s="15">
        <f>$B$6</f>
        <v/>
      </c>
      <c r="H90" s="15">
        <f>$B$7</f>
        <v/>
      </c>
      <c r="I90" s="22">
        <f>IF(AND(F90&gt;=G90,D90&gt;=H90),"FI reached","")</f>
        <v/>
      </c>
      <c r="J90" s="22">
        <f>IF(A90=720,"60-year model limit","")</f>
        <v/>
      </c>
    </row>
    <row r="91">
      <c r="A91" s="23" t="n">
        <v>75</v>
      </c>
      <c r="B91" s="24">
        <f>EDATE(TODAY(),A91)</f>
        <v/>
      </c>
      <c r="C91" s="25">
        <f>Inputs!$B$5+A91/12</f>
        <v/>
      </c>
      <c r="D91" s="15">
        <f>D90*(1+$B$8)^(1/12)+$B$10</f>
        <v/>
      </c>
      <c r="E91" s="15">
        <f>E90*(1+$B$9)^(1/12)</f>
        <v/>
      </c>
      <c r="F91" s="15">
        <f>D91+E91</f>
        <v/>
      </c>
      <c r="G91" s="15">
        <f>$B$6</f>
        <v/>
      </c>
      <c r="H91" s="15">
        <f>$B$7</f>
        <v/>
      </c>
      <c r="I91" s="22">
        <f>IF(AND(F91&gt;=G91,D91&gt;=H91),"FI reached","")</f>
        <v/>
      </c>
      <c r="J91" s="22">
        <f>IF(A91=720,"60-year model limit","")</f>
        <v/>
      </c>
    </row>
    <row r="92">
      <c r="A92" s="23" t="n">
        <v>76</v>
      </c>
      <c r="B92" s="24">
        <f>EDATE(TODAY(),A92)</f>
        <v/>
      </c>
      <c r="C92" s="25">
        <f>Inputs!$B$5+A92/12</f>
        <v/>
      </c>
      <c r="D92" s="15">
        <f>D91*(1+$B$8)^(1/12)+$B$10</f>
        <v/>
      </c>
      <c r="E92" s="15">
        <f>E91*(1+$B$9)^(1/12)</f>
        <v/>
      </c>
      <c r="F92" s="15">
        <f>D92+E92</f>
        <v/>
      </c>
      <c r="G92" s="15">
        <f>$B$6</f>
        <v/>
      </c>
      <c r="H92" s="15">
        <f>$B$7</f>
        <v/>
      </c>
      <c r="I92" s="22">
        <f>IF(AND(F92&gt;=G92,D92&gt;=H92),"FI reached","")</f>
        <v/>
      </c>
      <c r="J92" s="22">
        <f>IF(A92=720,"60-year model limit","")</f>
        <v/>
      </c>
    </row>
    <row r="93">
      <c r="A93" s="23" t="n">
        <v>77</v>
      </c>
      <c r="B93" s="24">
        <f>EDATE(TODAY(),A93)</f>
        <v/>
      </c>
      <c r="C93" s="25">
        <f>Inputs!$B$5+A93/12</f>
        <v/>
      </c>
      <c r="D93" s="15">
        <f>D92*(1+$B$8)^(1/12)+$B$10</f>
        <v/>
      </c>
      <c r="E93" s="15">
        <f>E92*(1+$B$9)^(1/12)</f>
        <v/>
      </c>
      <c r="F93" s="15">
        <f>D93+E93</f>
        <v/>
      </c>
      <c r="G93" s="15">
        <f>$B$6</f>
        <v/>
      </c>
      <c r="H93" s="15">
        <f>$B$7</f>
        <v/>
      </c>
      <c r="I93" s="22">
        <f>IF(AND(F93&gt;=G93,D93&gt;=H93),"FI reached","")</f>
        <v/>
      </c>
      <c r="J93" s="22">
        <f>IF(A93=720,"60-year model limit","")</f>
        <v/>
      </c>
    </row>
    <row r="94">
      <c r="A94" s="23" t="n">
        <v>78</v>
      </c>
      <c r="B94" s="24">
        <f>EDATE(TODAY(),A94)</f>
        <v/>
      </c>
      <c r="C94" s="25">
        <f>Inputs!$B$5+A94/12</f>
        <v/>
      </c>
      <c r="D94" s="15">
        <f>D93*(1+$B$8)^(1/12)+$B$10</f>
        <v/>
      </c>
      <c r="E94" s="15">
        <f>E93*(1+$B$9)^(1/12)</f>
        <v/>
      </c>
      <c r="F94" s="15">
        <f>D94+E94</f>
        <v/>
      </c>
      <c r="G94" s="15">
        <f>$B$6</f>
        <v/>
      </c>
      <c r="H94" s="15">
        <f>$B$7</f>
        <v/>
      </c>
      <c r="I94" s="22">
        <f>IF(AND(F94&gt;=G94,D94&gt;=H94),"FI reached","")</f>
        <v/>
      </c>
      <c r="J94" s="22">
        <f>IF(A94=720,"60-year model limit","")</f>
        <v/>
      </c>
    </row>
    <row r="95">
      <c r="A95" s="23" t="n">
        <v>79</v>
      </c>
      <c r="B95" s="24">
        <f>EDATE(TODAY(),A95)</f>
        <v/>
      </c>
      <c r="C95" s="25">
        <f>Inputs!$B$5+A95/12</f>
        <v/>
      </c>
      <c r="D95" s="15">
        <f>D94*(1+$B$8)^(1/12)+$B$10</f>
        <v/>
      </c>
      <c r="E95" s="15">
        <f>E94*(1+$B$9)^(1/12)</f>
        <v/>
      </c>
      <c r="F95" s="15">
        <f>D95+E95</f>
        <v/>
      </c>
      <c r="G95" s="15">
        <f>$B$6</f>
        <v/>
      </c>
      <c r="H95" s="15">
        <f>$B$7</f>
        <v/>
      </c>
      <c r="I95" s="22">
        <f>IF(AND(F95&gt;=G95,D95&gt;=H95),"FI reached","")</f>
        <v/>
      </c>
      <c r="J95" s="22">
        <f>IF(A95=720,"60-year model limit","")</f>
        <v/>
      </c>
    </row>
    <row r="96">
      <c r="A96" s="23" t="n">
        <v>80</v>
      </c>
      <c r="B96" s="24">
        <f>EDATE(TODAY(),A96)</f>
        <v/>
      </c>
      <c r="C96" s="25">
        <f>Inputs!$B$5+A96/12</f>
        <v/>
      </c>
      <c r="D96" s="15">
        <f>D95*(1+$B$8)^(1/12)+$B$10</f>
        <v/>
      </c>
      <c r="E96" s="15">
        <f>E95*(1+$B$9)^(1/12)</f>
        <v/>
      </c>
      <c r="F96" s="15">
        <f>D96+E96</f>
        <v/>
      </c>
      <c r="G96" s="15">
        <f>$B$6</f>
        <v/>
      </c>
      <c r="H96" s="15">
        <f>$B$7</f>
        <v/>
      </c>
      <c r="I96" s="22">
        <f>IF(AND(F96&gt;=G96,D96&gt;=H96),"FI reached","")</f>
        <v/>
      </c>
      <c r="J96" s="22">
        <f>IF(A96=720,"60-year model limit","")</f>
        <v/>
      </c>
    </row>
    <row r="97">
      <c r="A97" s="23" t="n">
        <v>81</v>
      </c>
      <c r="B97" s="24">
        <f>EDATE(TODAY(),A97)</f>
        <v/>
      </c>
      <c r="C97" s="25">
        <f>Inputs!$B$5+A97/12</f>
        <v/>
      </c>
      <c r="D97" s="15">
        <f>D96*(1+$B$8)^(1/12)+$B$10</f>
        <v/>
      </c>
      <c r="E97" s="15">
        <f>E96*(1+$B$9)^(1/12)</f>
        <v/>
      </c>
      <c r="F97" s="15">
        <f>D97+E97</f>
        <v/>
      </c>
      <c r="G97" s="15">
        <f>$B$6</f>
        <v/>
      </c>
      <c r="H97" s="15">
        <f>$B$7</f>
        <v/>
      </c>
      <c r="I97" s="22">
        <f>IF(AND(F97&gt;=G97,D97&gt;=H97),"FI reached","")</f>
        <v/>
      </c>
      <c r="J97" s="22">
        <f>IF(A97=720,"60-year model limit","")</f>
        <v/>
      </c>
    </row>
    <row r="98">
      <c r="A98" s="23" t="n">
        <v>82</v>
      </c>
      <c r="B98" s="24">
        <f>EDATE(TODAY(),A98)</f>
        <v/>
      </c>
      <c r="C98" s="25">
        <f>Inputs!$B$5+A98/12</f>
        <v/>
      </c>
      <c r="D98" s="15">
        <f>D97*(1+$B$8)^(1/12)+$B$10</f>
        <v/>
      </c>
      <c r="E98" s="15">
        <f>E97*(1+$B$9)^(1/12)</f>
        <v/>
      </c>
      <c r="F98" s="15">
        <f>D98+E98</f>
        <v/>
      </c>
      <c r="G98" s="15">
        <f>$B$6</f>
        <v/>
      </c>
      <c r="H98" s="15">
        <f>$B$7</f>
        <v/>
      </c>
      <c r="I98" s="22">
        <f>IF(AND(F98&gt;=G98,D98&gt;=H98),"FI reached","")</f>
        <v/>
      </c>
      <c r="J98" s="22">
        <f>IF(A98=720,"60-year model limit","")</f>
        <v/>
      </c>
    </row>
    <row r="99">
      <c r="A99" s="23" t="n">
        <v>83</v>
      </c>
      <c r="B99" s="24">
        <f>EDATE(TODAY(),A99)</f>
        <v/>
      </c>
      <c r="C99" s="25">
        <f>Inputs!$B$5+A99/12</f>
        <v/>
      </c>
      <c r="D99" s="15">
        <f>D98*(1+$B$8)^(1/12)+$B$10</f>
        <v/>
      </c>
      <c r="E99" s="15">
        <f>E98*(1+$B$9)^(1/12)</f>
        <v/>
      </c>
      <c r="F99" s="15">
        <f>D99+E99</f>
        <v/>
      </c>
      <c r="G99" s="15">
        <f>$B$6</f>
        <v/>
      </c>
      <c r="H99" s="15">
        <f>$B$7</f>
        <v/>
      </c>
      <c r="I99" s="22">
        <f>IF(AND(F99&gt;=G99,D99&gt;=H99),"FI reached","")</f>
        <v/>
      </c>
      <c r="J99" s="22">
        <f>IF(A99=720,"60-year model limit","")</f>
        <v/>
      </c>
    </row>
    <row r="100">
      <c r="A100" s="23" t="n">
        <v>84</v>
      </c>
      <c r="B100" s="24">
        <f>EDATE(TODAY(),A100)</f>
        <v/>
      </c>
      <c r="C100" s="25">
        <f>Inputs!$B$5+A100/12</f>
        <v/>
      </c>
      <c r="D100" s="15">
        <f>D99*(1+$B$8)^(1/12)+$B$10</f>
        <v/>
      </c>
      <c r="E100" s="15">
        <f>E99*(1+$B$9)^(1/12)</f>
        <v/>
      </c>
      <c r="F100" s="15">
        <f>D100+E100</f>
        <v/>
      </c>
      <c r="G100" s="15">
        <f>$B$6</f>
        <v/>
      </c>
      <c r="H100" s="15">
        <f>$B$7</f>
        <v/>
      </c>
      <c r="I100" s="22">
        <f>IF(AND(F100&gt;=G100,D100&gt;=H100),"FI reached","")</f>
        <v/>
      </c>
      <c r="J100" s="22">
        <f>IF(A100=720,"60-year model limit","")</f>
        <v/>
      </c>
    </row>
    <row r="101">
      <c r="A101" s="23" t="n">
        <v>85</v>
      </c>
      <c r="B101" s="24">
        <f>EDATE(TODAY(),A101)</f>
        <v/>
      </c>
      <c r="C101" s="25">
        <f>Inputs!$B$5+A101/12</f>
        <v/>
      </c>
      <c r="D101" s="15">
        <f>D100*(1+$B$8)^(1/12)+$B$10</f>
        <v/>
      </c>
      <c r="E101" s="15">
        <f>E100*(1+$B$9)^(1/12)</f>
        <v/>
      </c>
      <c r="F101" s="15">
        <f>D101+E101</f>
        <v/>
      </c>
      <c r="G101" s="15">
        <f>$B$6</f>
        <v/>
      </c>
      <c r="H101" s="15">
        <f>$B$7</f>
        <v/>
      </c>
      <c r="I101" s="22">
        <f>IF(AND(F101&gt;=G101,D101&gt;=H101),"FI reached","")</f>
        <v/>
      </c>
      <c r="J101" s="22">
        <f>IF(A101=720,"60-year model limit","")</f>
        <v/>
      </c>
    </row>
    <row r="102">
      <c r="A102" s="23" t="n">
        <v>86</v>
      </c>
      <c r="B102" s="24">
        <f>EDATE(TODAY(),A102)</f>
        <v/>
      </c>
      <c r="C102" s="25">
        <f>Inputs!$B$5+A102/12</f>
        <v/>
      </c>
      <c r="D102" s="15">
        <f>D101*(1+$B$8)^(1/12)+$B$10</f>
        <v/>
      </c>
      <c r="E102" s="15">
        <f>E101*(1+$B$9)^(1/12)</f>
        <v/>
      </c>
      <c r="F102" s="15">
        <f>D102+E102</f>
        <v/>
      </c>
      <c r="G102" s="15">
        <f>$B$6</f>
        <v/>
      </c>
      <c r="H102" s="15">
        <f>$B$7</f>
        <v/>
      </c>
      <c r="I102" s="22">
        <f>IF(AND(F102&gt;=G102,D102&gt;=H102),"FI reached","")</f>
        <v/>
      </c>
      <c r="J102" s="22">
        <f>IF(A102=720,"60-year model limit","")</f>
        <v/>
      </c>
    </row>
    <row r="103">
      <c r="A103" s="23" t="n">
        <v>87</v>
      </c>
      <c r="B103" s="24">
        <f>EDATE(TODAY(),A103)</f>
        <v/>
      </c>
      <c r="C103" s="25">
        <f>Inputs!$B$5+A103/12</f>
        <v/>
      </c>
      <c r="D103" s="15">
        <f>D102*(1+$B$8)^(1/12)+$B$10</f>
        <v/>
      </c>
      <c r="E103" s="15">
        <f>E102*(1+$B$9)^(1/12)</f>
        <v/>
      </c>
      <c r="F103" s="15">
        <f>D103+E103</f>
        <v/>
      </c>
      <c r="G103" s="15">
        <f>$B$6</f>
        <v/>
      </c>
      <c r="H103" s="15">
        <f>$B$7</f>
        <v/>
      </c>
      <c r="I103" s="22">
        <f>IF(AND(F103&gt;=G103,D103&gt;=H103),"FI reached","")</f>
        <v/>
      </c>
      <c r="J103" s="22">
        <f>IF(A103=720,"60-year model limit","")</f>
        <v/>
      </c>
    </row>
    <row r="104">
      <c r="A104" s="23" t="n">
        <v>88</v>
      </c>
      <c r="B104" s="24">
        <f>EDATE(TODAY(),A104)</f>
        <v/>
      </c>
      <c r="C104" s="25">
        <f>Inputs!$B$5+A104/12</f>
        <v/>
      </c>
      <c r="D104" s="15">
        <f>D103*(1+$B$8)^(1/12)+$B$10</f>
        <v/>
      </c>
      <c r="E104" s="15">
        <f>E103*(1+$B$9)^(1/12)</f>
        <v/>
      </c>
      <c r="F104" s="15">
        <f>D104+E104</f>
        <v/>
      </c>
      <c r="G104" s="15">
        <f>$B$6</f>
        <v/>
      </c>
      <c r="H104" s="15">
        <f>$B$7</f>
        <v/>
      </c>
      <c r="I104" s="22">
        <f>IF(AND(F104&gt;=G104,D104&gt;=H104),"FI reached","")</f>
        <v/>
      </c>
      <c r="J104" s="22">
        <f>IF(A104=720,"60-year model limit","")</f>
        <v/>
      </c>
    </row>
    <row r="105">
      <c r="A105" s="23" t="n">
        <v>89</v>
      </c>
      <c r="B105" s="24">
        <f>EDATE(TODAY(),A105)</f>
        <v/>
      </c>
      <c r="C105" s="25">
        <f>Inputs!$B$5+A105/12</f>
        <v/>
      </c>
      <c r="D105" s="15">
        <f>D104*(1+$B$8)^(1/12)+$B$10</f>
        <v/>
      </c>
      <c r="E105" s="15">
        <f>E104*(1+$B$9)^(1/12)</f>
        <v/>
      </c>
      <c r="F105" s="15">
        <f>D105+E105</f>
        <v/>
      </c>
      <c r="G105" s="15">
        <f>$B$6</f>
        <v/>
      </c>
      <c r="H105" s="15">
        <f>$B$7</f>
        <v/>
      </c>
      <c r="I105" s="22">
        <f>IF(AND(F105&gt;=G105,D105&gt;=H105),"FI reached","")</f>
        <v/>
      </c>
      <c r="J105" s="22">
        <f>IF(A105=720,"60-year model limit","")</f>
        <v/>
      </c>
    </row>
    <row r="106">
      <c r="A106" s="23" t="n">
        <v>90</v>
      </c>
      <c r="B106" s="24">
        <f>EDATE(TODAY(),A106)</f>
        <v/>
      </c>
      <c r="C106" s="25">
        <f>Inputs!$B$5+A106/12</f>
        <v/>
      </c>
      <c r="D106" s="15">
        <f>D105*(1+$B$8)^(1/12)+$B$10</f>
        <v/>
      </c>
      <c r="E106" s="15">
        <f>E105*(1+$B$9)^(1/12)</f>
        <v/>
      </c>
      <c r="F106" s="15">
        <f>D106+E106</f>
        <v/>
      </c>
      <c r="G106" s="15">
        <f>$B$6</f>
        <v/>
      </c>
      <c r="H106" s="15">
        <f>$B$7</f>
        <v/>
      </c>
      <c r="I106" s="22">
        <f>IF(AND(F106&gt;=G106,D106&gt;=H106),"FI reached","")</f>
        <v/>
      </c>
      <c r="J106" s="22">
        <f>IF(A106=720,"60-year model limit","")</f>
        <v/>
      </c>
    </row>
    <row r="107">
      <c r="A107" s="23" t="n">
        <v>91</v>
      </c>
      <c r="B107" s="24">
        <f>EDATE(TODAY(),A107)</f>
        <v/>
      </c>
      <c r="C107" s="25">
        <f>Inputs!$B$5+A107/12</f>
        <v/>
      </c>
      <c r="D107" s="15">
        <f>D106*(1+$B$8)^(1/12)+$B$10</f>
        <v/>
      </c>
      <c r="E107" s="15">
        <f>E106*(1+$B$9)^(1/12)</f>
        <v/>
      </c>
      <c r="F107" s="15">
        <f>D107+E107</f>
        <v/>
      </c>
      <c r="G107" s="15">
        <f>$B$6</f>
        <v/>
      </c>
      <c r="H107" s="15">
        <f>$B$7</f>
        <v/>
      </c>
      <c r="I107" s="22">
        <f>IF(AND(F107&gt;=G107,D107&gt;=H107),"FI reached","")</f>
        <v/>
      </c>
      <c r="J107" s="22">
        <f>IF(A107=720,"60-year model limit","")</f>
        <v/>
      </c>
    </row>
    <row r="108">
      <c r="A108" s="23" t="n">
        <v>92</v>
      </c>
      <c r="B108" s="24">
        <f>EDATE(TODAY(),A108)</f>
        <v/>
      </c>
      <c r="C108" s="25">
        <f>Inputs!$B$5+A108/12</f>
        <v/>
      </c>
      <c r="D108" s="15">
        <f>D107*(1+$B$8)^(1/12)+$B$10</f>
        <v/>
      </c>
      <c r="E108" s="15">
        <f>E107*(1+$B$9)^(1/12)</f>
        <v/>
      </c>
      <c r="F108" s="15">
        <f>D108+E108</f>
        <v/>
      </c>
      <c r="G108" s="15">
        <f>$B$6</f>
        <v/>
      </c>
      <c r="H108" s="15">
        <f>$B$7</f>
        <v/>
      </c>
      <c r="I108" s="22">
        <f>IF(AND(F108&gt;=G108,D108&gt;=H108),"FI reached","")</f>
        <v/>
      </c>
      <c r="J108" s="22">
        <f>IF(A108=720,"60-year model limit","")</f>
        <v/>
      </c>
    </row>
    <row r="109">
      <c r="A109" s="23" t="n">
        <v>93</v>
      </c>
      <c r="B109" s="24">
        <f>EDATE(TODAY(),A109)</f>
        <v/>
      </c>
      <c r="C109" s="25">
        <f>Inputs!$B$5+A109/12</f>
        <v/>
      </c>
      <c r="D109" s="15">
        <f>D108*(1+$B$8)^(1/12)+$B$10</f>
        <v/>
      </c>
      <c r="E109" s="15">
        <f>E108*(1+$B$9)^(1/12)</f>
        <v/>
      </c>
      <c r="F109" s="15">
        <f>D109+E109</f>
        <v/>
      </c>
      <c r="G109" s="15">
        <f>$B$6</f>
        <v/>
      </c>
      <c r="H109" s="15">
        <f>$B$7</f>
        <v/>
      </c>
      <c r="I109" s="22">
        <f>IF(AND(F109&gt;=G109,D109&gt;=H109),"FI reached","")</f>
        <v/>
      </c>
      <c r="J109" s="22">
        <f>IF(A109=720,"60-year model limit","")</f>
        <v/>
      </c>
    </row>
    <row r="110">
      <c r="A110" s="23" t="n">
        <v>94</v>
      </c>
      <c r="B110" s="24">
        <f>EDATE(TODAY(),A110)</f>
        <v/>
      </c>
      <c r="C110" s="25">
        <f>Inputs!$B$5+A110/12</f>
        <v/>
      </c>
      <c r="D110" s="15">
        <f>D109*(1+$B$8)^(1/12)+$B$10</f>
        <v/>
      </c>
      <c r="E110" s="15">
        <f>E109*(1+$B$9)^(1/12)</f>
        <v/>
      </c>
      <c r="F110" s="15">
        <f>D110+E110</f>
        <v/>
      </c>
      <c r="G110" s="15">
        <f>$B$6</f>
        <v/>
      </c>
      <c r="H110" s="15">
        <f>$B$7</f>
        <v/>
      </c>
      <c r="I110" s="22">
        <f>IF(AND(F110&gt;=G110,D110&gt;=H110),"FI reached","")</f>
        <v/>
      </c>
      <c r="J110" s="22">
        <f>IF(A110=720,"60-year model limit","")</f>
        <v/>
      </c>
    </row>
    <row r="111">
      <c r="A111" s="23" t="n">
        <v>95</v>
      </c>
      <c r="B111" s="24">
        <f>EDATE(TODAY(),A111)</f>
        <v/>
      </c>
      <c r="C111" s="25">
        <f>Inputs!$B$5+A111/12</f>
        <v/>
      </c>
      <c r="D111" s="15">
        <f>D110*(1+$B$8)^(1/12)+$B$10</f>
        <v/>
      </c>
      <c r="E111" s="15">
        <f>E110*(1+$B$9)^(1/12)</f>
        <v/>
      </c>
      <c r="F111" s="15">
        <f>D111+E111</f>
        <v/>
      </c>
      <c r="G111" s="15">
        <f>$B$6</f>
        <v/>
      </c>
      <c r="H111" s="15">
        <f>$B$7</f>
        <v/>
      </c>
      <c r="I111" s="22">
        <f>IF(AND(F111&gt;=G111,D111&gt;=H111),"FI reached","")</f>
        <v/>
      </c>
      <c r="J111" s="22">
        <f>IF(A111=720,"60-year model limit","")</f>
        <v/>
      </c>
    </row>
    <row r="112">
      <c r="A112" s="23" t="n">
        <v>96</v>
      </c>
      <c r="B112" s="24">
        <f>EDATE(TODAY(),A112)</f>
        <v/>
      </c>
      <c r="C112" s="25">
        <f>Inputs!$B$5+A112/12</f>
        <v/>
      </c>
      <c r="D112" s="15">
        <f>D111*(1+$B$8)^(1/12)+$B$10</f>
        <v/>
      </c>
      <c r="E112" s="15">
        <f>E111*(1+$B$9)^(1/12)</f>
        <v/>
      </c>
      <c r="F112" s="15">
        <f>D112+E112</f>
        <v/>
      </c>
      <c r="G112" s="15">
        <f>$B$6</f>
        <v/>
      </c>
      <c r="H112" s="15">
        <f>$B$7</f>
        <v/>
      </c>
      <c r="I112" s="22">
        <f>IF(AND(F112&gt;=G112,D112&gt;=H112),"FI reached","")</f>
        <v/>
      </c>
      <c r="J112" s="22">
        <f>IF(A112=720,"60-year model limit","")</f>
        <v/>
      </c>
    </row>
    <row r="113">
      <c r="A113" s="23" t="n">
        <v>97</v>
      </c>
      <c r="B113" s="24">
        <f>EDATE(TODAY(),A113)</f>
        <v/>
      </c>
      <c r="C113" s="25">
        <f>Inputs!$B$5+A113/12</f>
        <v/>
      </c>
      <c r="D113" s="15">
        <f>D112*(1+$B$8)^(1/12)+$B$10</f>
        <v/>
      </c>
      <c r="E113" s="15">
        <f>E112*(1+$B$9)^(1/12)</f>
        <v/>
      </c>
      <c r="F113" s="15">
        <f>D113+E113</f>
        <v/>
      </c>
      <c r="G113" s="15">
        <f>$B$6</f>
        <v/>
      </c>
      <c r="H113" s="15">
        <f>$B$7</f>
        <v/>
      </c>
      <c r="I113" s="22">
        <f>IF(AND(F113&gt;=G113,D113&gt;=H113),"FI reached","")</f>
        <v/>
      </c>
      <c r="J113" s="22">
        <f>IF(A113=720,"60-year model limit","")</f>
        <v/>
      </c>
    </row>
    <row r="114">
      <c r="A114" s="23" t="n">
        <v>98</v>
      </c>
      <c r="B114" s="24">
        <f>EDATE(TODAY(),A114)</f>
        <v/>
      </c>
      <c r="C114" s="25">
        <f>Inputs!$B$5+A114/12</f>
        <v/>
      </c>
      <c r="D114" s="15">
        <f>D113*(1+$B$8)^(1/12)+$B$10</f>
        <v/>
      </c>
      <c r="E114" s="15">
        <f>E113*(1+$B$9)^(1/12)</f>
        <v/>
      </c>
      <c r="F114" s="15">
        <f>D114+E114</f>
        <v/>
      </c>
      <c r="G114" s="15">
        <f>$B$6</f>
        <v/>
      </c>
      <c r="H114" s="15">
        <f>$B$7</f>
        <v/>
      </c>
      <c r="I114" s="22">
        <f>IF(AND(F114&gt;=G114,D114&gt;=H114),"FI reached","")</f>
        <v/>
      </c>
      <c r="J114" s="22">
        <f>IF(A114=720,"60-year model limit","")</f>
        <v/>
      </c>
    </row>
    <row r="115">
      <c r="A115" s="23" t="n">
        <v>99</v>
      </c>
      <c r="B115" s="24">
        <f>EDATE(TODAY(),A115)</f>
        <v/>
      </c>
      <c r="C115" s="25">
        <f>Inputs!$B$5+A115/12</f>
        <v/>
      </c>
      <c r="D115" s="15">
        <f>D114*(1+$B$8)^(1/12)+$B$10</f>
        <v/>
      </c>
      <c r="E115" s="15">
        <f>E114*(1+$B$9)^(1/12)</f>
        <v/>
      </c>
      <c r="F115" s="15">
        <f>D115+E115</f>
        <v/>
      </c>
      <c r="G115" s="15">
        <f>$B$6</f>
        <v/>
      </c>
      <c r="H115" s="15">
        <f>$B$7</f>
        <v/>
      </c>
      <c r="I115" s="22">
        <f>IF(AND(F115&gt;=G115,D115&gt;=H115),"FI reached","")</f>
        <v/>
      </c>
      <c r="J115" s="22">
        <f>IF(A115=720,"60-year model limit","")</f>
        <v/>
      </c>
    </row>
    <row r="116">
      <c r="A116" s="23" t="n">
        <v>100</v>
      </c>
      <c r="B116" s="24">
        <f>EDATE(TODAY(),A116)</f>
        <v/>
      </c>
      <c r="C116" s="25">
        <f>Inputs!$B$5+A116/12</f>
        <v/>
      </c>
      <c r="D116" s="15">
        <f>D115*(1+$B$8)^(1/12)+$B$10</f>
        <v/>
      </c>
      <c r="E116" s="15">
        <f>E115*(1+$B$9)^(1/12)</f>
        <v/>
      </c>
      <c r="F116" s="15">
        <f>D116+E116</f>
        <v/>
      </c>
      <c r="G116" s="15">
        <f>$B$6</f>
        <v/>
      </c>
      <c r="H116" s="15">
        <f>$B$7</f>
        <v/>
      </c>
      <c r="I116" s="22">
        <f>IF(AND(F116&gt;=G116,D116&gt;=H116),"FI reached","")</f>
        <v/>
      </c>
      <c r="J116" s="22">
        <f>IF(A116=720,"60-year model limit","")</f>
        <v/>
      </c>
    </row>
    <row r="117">
      <c r="A117" s="23" t="n">
        <v>101</v>
      </c>
      <c r="B117" s="24">
        <f>EDATE(TODAY(),A117)</f>
        <v/>
      </c>
      <c r="C117" s="25">
        <f>Inputs!$B$5+A117/12</f>
        <v/>
      </c>
      <c r="D117" s="15">
        <f>D116*(1+$B$8)^(1/12)+$B$10</f>
        <v/>
      </c>
      <c r="E117" s="15">
        <f>E116*(1+$B$9)^(1/12)</f>
        <v/>
      </c>
      <c r="F117" s="15">
        <f>D117+E117</f>
        <v/>
      </c>
      <c r="G117" s="15">
        <f>$B$6</f>
        <v/>
      </c>
      <c r="H117" s="15">
        <f>$B$7</f>
        <v/>
      </c>
      <c r="I117" s="22">
        <f>IF(AND(F117&gt;=G117,D117&gt;=H117),"FI reached","")</f>
        <v/>
      </c>
      <c r="J117" s="22">
        <f>IF(A117=720,"60-year model limit","")</f>
        <v/>
      </c>
    </row>
    <row r="118">
      <c r="A118" s="23" t="n">
        <v>102</v>
      </c>
      <c r="B118" s="24">
        <f>EDATE(TODAY(),A118)</f>
        <v/>
      </c>
      <c r="C118" s="25">
        <f>Inputs!$B$5+A118/12</f>
        <v/>
      </c>
      <c r="D118" s="15">
        <f>D117*(1+$B$8)^(1/12)+$B$10</f>
        <v/>
      </c>
      <c r="E118" s="15">
        <f>E117*(1+$B$9)^(1/12)</f>
        <v/>
      </c>
      <c r="F118" s="15">
        <f>D118+E118</f>
        <v/>
      </c>
      <c r="G118" s="15">
        <f>$B$6</f>
        <v/>
      </c>
      <c r="H118" s="15">
        <f>$B$7</f>
        <v/>
      </c>
      <c r="I118" s="22">
        <f>IF(AND(F118&gt;=G118,D118&gt;=H118),"FI reached","")</f>
        <v/>
      </c>
      <c r="J118" s="22">
        <f>IF(A118=720,"60-year model limit","")</f>
        <v/>
      </c>
    </row>
    <row r="119">
      <c r="A119" s="23" t="n">
        <v>103</v>
      </c>
      <c r="B119" s="24">
        <f>EDATE(TODAY(),A119)</f>
        <v/>
      </c>
      <c r="C119" s="25">
        <f>Inputs!$B$5+A119/12</f>
        <v/>
      </c>
      <c r="D119" s="15">
        <f>D118*(1+$B$8)^(1/12)+$B$10</f>
        <v/>
      </c>
      <c r="E119" s="15">
        <f>E118*(1+$B$9)^(1/12)</f>
        <v/>
      </c>
      <c r="F119" s="15">
        <f>D119+E119</f>
        <v/>
      </c>
      <c r="G119" s="15">
        <f>$B$6</f>
        <v/>
      </c>
      <c r="H119" s="15">
        <f>$B$7</f>
        <v/>
      </c>
      <c r="I119" s="22">
        <f>IF(AND(F119&gt;=G119,D119&gt;=H119),"FI reached","")</f>
        <v/>
      </c>
      <c r="J119" s="22">
        <f>IF(A119=720,"60-year model limit","")</f>
        <v/>
      </c>
    </row>
    <row r="120">
      <c r="A120" s="23" t="n">
        <v>104</v>
      </c>
      <c r="B120" s="24">
        <f>EDATE(TODAY(),A120)</f>
        <v/>
      </c>
      <c r="C120" s="25">
        <f>Inputs!$B$5+A120/12</f>
        <v/>
      </c>
      <c r="D120" s="15">
        <f>D119*(1+$B$8)^(1/12)+$B$10</f>
        <v/>
      </c>
      <c r="E120" s="15">
        <f>E119*(1+$B$9)^(1/12)</f>
        <v/>
      </c>
      <c r="F120" s="15">
        <f>D120+E120</f>
        <v/>
      </c>
      <c r="G120" s="15">
        <f>$B$6</f>
        <v/>
      </c>
      <c r="H120" s="15">
        <f>$B$7</f>
        <v/>
      </c>
      <c r="I120" s="22">
        <f>IF(AND(F120&gt;=G120,D120&gt;=H120),"FI reached","")</f>
        <v/>
      </c>
      <c r="J120" s="22">
        <f>IF(A120=720,"60-year model limit","")</f>
        <v/>
      </c>
    </row>
    <row r="121">
      <c r="A121" s="23" t="n">
        <v>105</v>
      </c>
      <c r="B121" s="24">
        <f>EDATE(TODAY(),A121)</f>
        <v/>
      </c>
      <c r="C121" s="25">
        <f>Inputs!$B$5+A121/12</f>
        <v/>
      </c>
      <c r="D121" s="15">
        <f>D120*(1+$B$8)^(1/12)+$B$10</f>
        <v/>
      </c>
      <c r="E121" s="15">
        <f>E120*(1+$B$9)^(1/12)</f>
        <v/>
      </c>
      <c r="F121" s="15">
        <f>D121+E121</f>
        <v/>
      </c>
      <c r="G121" s="15">
        <f>$B$6</f>
        <v/>
      </c>
      <c r="H121" s="15">
        <f>$B$7</f>
        <v/>
      </c>
      <c r="I121" s="22">
        <f>IF(AND(F121&gt;=G121,D121&gt;=H121),"FI reached","")</f>
        <v/>
      </c>
      <c r="J121" s="22">
        <f>IF(A121=720,"60-year model limit","")</f>
        <v/>
      </c>
    </row>
    <row r="122">
      <c r="A122" s="23" t="n">
        <v>106</v>
      </c>
      <c r="B122" s="24">
        <f>EDATE(TODAY(),A122)</f>
        <v/>
      </c>
      <c r="C122" s="25">
        <f>Inputs!$B$5+A122/12</f>
        <v/>
      </c>
      <c r="D122" s="15">
        <f>D121*(1+$B$8)^(1/12)+$B$10</f>
        <v/>
      </c>
      <c r="E122" s="15">
        <f>E121*(1+$B$9)^(1/12)</f>
        <v/>
      </c>
      <c r="F122" s="15">
        <f>D122+E122</f>
        <v/>
      </c>
      <c r="G122" s="15">
        <f>$B$6</f>
        <v/>
      </c>
      <c r="H122" s="15">
        <f>$B$7</f>
        <v/>
      </c>
      <c r="I122" s="22">
        <f>IF(AND(F122&gt;=G122,D122&gt;=H122),"FI reached","")</f>
        <v/>
      </c>
      <c r="J122" s="22">
        <f>IF(A122=720,"60-year model limit","")</f>
        <v/>
      </c>
    </row>
    <row r="123">
      <c r="A123" s="23" t="n">
        <v>107</v>
      </c>
      <c r="B123" s="24">
        <f>EDATE(TODAY(),A123)</f>
        <v/>
      </c>
      <c r="C123" s="25">
        <f>Inputs!$B$5+A123/12</f>
        <v/>
      </c>
      <c r="D123" s="15">
        <f>D122*(1+$B$8)^(1/12)+$B$10</f>
        <v/>
      </c>
      <c r="E123" s="15">
        <f>E122*(1+$B$9)^(1/12)</f>
        <v/>
      </c>
      <c r="F123" s="15">
        <f>D123+E123</f>
        <v/>
      </c>
      <c r="G123" s="15">
        <f>$B$6</f>
        <v/>
      </c>
      <c r="H123" s="15">
        <f>$B$7</f>
        <v/>
      </c>
      <c r="I123" s="22">
        <f>IF(AND(F123&gt;=G123,D123&gt;=H123),"FI reached","")</f>
        <v/>
      </c>
      <c r="J123" s="22">
        <f>IF(A123=720,"60-year model limit","")</f>
        <v/>
      </c>
    </row>
    <row r="124">
      <c r="A124" s="23" t="n">
        <v>108</v>
      </c>
      <c r="B124" s="24">
        <f>EDATE(TODAY(),A124)</f>
        <v/>
      </c>
      <c r="C124" s="25">
        <f>Inputs!$B$5+A124/12</f>
        <v/>
      </c>
      <c r="D124" s="15">
        <f>D123*(1+$B$8)^(1/12)+$B$10</f>
        <v/>
      </c>
      <c r="E124" s="15">
        <f>E123*(1+$B$9)^(1/12)</f>
        <v/>
      </c>
      <c r="F124" s="15">
        <f>D124+E124</f>
        <v/>
      </c>
      <c r="G124" s="15">
        <f>$B$6</f>
        <v/>
      </c>
      <c r="H124" s="15">
        <f>$B$7</f>
        <v/>
      </c>
      <c r="I124" s="22">
        <f>IF(AND(F124&gt;=G124,D124&gt;=H124),"FI reached","")</f>
        <v/>
      </c>
      <c r="J124" s="22">
        <f>IF(A124=720,"60-year model limit","")</f>
        <v/>
      </c>
    </row>
    <row r="125">
      <c r="A125" s="23" t="n">
        <v>109</v>
      </c>
      <c r="B125" s="24">
        <f>EDATE(TODAY(),A125)</f>
        <v/>
      </c>
      <c r="C125" s="25">
        <f>Inputs!$B$5+A125/12</f>
        <v/>
      </c>
      <c r="D125" s="15">
        <f>D124*(1+$B$8)^(1/12)+$B$10</f>
        <v/>
      </c>
      <c r="E125" s="15">
        <f>E124*(1+$B$9)^(1/12)</f>
        <v/>
      </c>
      <c r="F125" s="15">
        <f>D125+E125</f>
        <v/>
      </c>
      <c r="G125" s="15">
        <f>$B$6</f>
        <v/>
      </c>
      <c r="H125" s="15">
        <f>$B$7</f>
        <v/>
      </c>
      <c r="I125" s="22">
        <f>IF(AND(F125&gt;=G125,D125&gt;=H125),"FI reached","")</f>
        <v/>
      </c>
      <c r="J125" s="22">
        <f>IF(A125=720,"60-year model limit","")</f>
        <v/>
      </c>
    </row>
    <row r="126">
      <c r="A126" s="23" t="n">
        <v>110</v>
      </c>
      <c r="B126" s="24">
        <f>EDATE(TODAY(),A126)</f>
        <v/>
      </c>
      <c r="C126" s="25">
        <f>Inputs!$B$5+A126/12</f>
        <v/>
      </c>
      <c r="D126" s="15">
        <f>D125*(1+$B$8)^(1/12)+$B$10</f>
        <v/>
      </c>
      <c r="E126" s="15">
        <f>E125*(1+$B$9)^(1/12)</f>
        <v/>
      </c>
      <c r="F126" s="15">
        <f>D126+E126</f>
        <v/>
      </c>
      <c r="G126" s="15">
        <f>$B$6</f>
        <v/>
      </c>
      <c r="H126" s="15">
        <f>$B$7</f>
        <v/>
      </c>
      <c r="I126" s="22">
        <f>IF(AND(F126&gt;=G126,D126&gt;=H126),"FI reached","")</f>
        <v/>
      </c>
      <c r="J126" s="22">
        <f>IF(A126=720,"60-year model limit","")</f>
        <v/>
      </c>
    </row>
    <row r="127">
      <c r="A127" s="23" t="n">
        <v>111</v>
      </c>
      <c r="B127" s="24">
        <f>EDATE(TODAY(),A127)</f>
        <v/>
      </c>
      <c r="C127" s="25">
        <f>Inputs!$B$5+A127/12</f>
        <v/>
      </c>
      <c r="D127" s="15">
        <f>D126*(1+$B$8)^(1/12)+$B$10</f>
        <v/>
      </c>
      <c r="E127" s="15">
        <f>E126*(1+$B$9)^(1/12)</f>
        <v/>
      </c>
      <c r="F127" s="15">
        <f>D127+E127</f>
        <v/>
      </c>
      <c r="G127" s="15">
        <f>$B$6</f>
        <v/>
      </c>
      <c r="H127" s="15">
        <f>$B$7</f>
        <v/>
      </c>
      <c r="I127" s="22">
        <f>IF(AND(F127&gt;=G127,D127&gt;=H127),"FI reached","")</f>
        <v/>
      </c>
      <c r="J127" s="22">
        <f>IF(A127=720,"60-year model limit","")</f>
        <v/>
      </c>
    </row>
    <row r="128">
      <c r="A128" s="23" t="n">
        <v>112</v>
      </c>
      <c r="B128" s="24">
        <f>EDATE(TODAY(),A128)</f>
        <v/>
      </c>
      <c r="C128" s="25">
        <f>Inputs!$B$5+A128/12</f>
        <v/>
      </c>
      <c r="D128" s="15">
        <f>D127*(1+$B$8)^(1/12)+$B$10</f>
        <v/>
      </c>
      <c r="E128" s="15">
        <f>E127*(1+$B$9)^(1/12)</f>
        <v/>
      </c>
      <c r="F128" s="15">
        <f>D128+E128</f>
        <v/>
      </c>
      <c r="G128" s="15">
        <f>$B$6</f>
        <v/>
      </c>
      <c r="H128" s="15">
        <f>$B$7</f>
        <v/>
      </c>
      <c r="I128" s="22">
        <f>IF(AND(F128&gt;=G128,D128&gt;=H128),"FI reached","")</f>
        <v/>
      </c>
      <c r="J128" s="22">
        <f>IF(A128=720,"60-year model limit","")</f>
        <v/>
      </c>
    </row>
    <row r="129">
      <c r="A129" s="23" t="n">
        <v>113</v>
      </c>
      <c r="B129" s="24">
        <f>EDATE(TODAY(),A129)</f>
        <v/>
      </c>
      <c r="C129" s="25">
        <f>Inputs!$B$5+A129/12</f>
        <v/>
      </c>
      <c r="D129" s="15">
        <f>D128*(1+$B$8)^(1/12)+$B$10</f>
        <v/>
      </c>
      <c r="E129" s="15">
        <f>E128*(1+$B$9)^(1/12)</f>
        <v/>
      </c>
      <c r="F129" s="15">
        <f>D129+E129</f>
        <v/>
      </c>
      <c r="G129" s="15">
        <f>$B$6</f>
        <v/>
      </c>
      <c r="H129" s="15">
        <f>$B$7</f>
        <v/>
      </c>
      <c r="I129" s="22">
        <f>IF(AND(F129&gt;=G129,D129&gt;=H129),"FI reached","")</f>
        <v/>
      </c>
      <c r="J129" s="22">
        <f>IF(A129=720,"60-year model limit","")</f>
        <v/>
      </c>
    </row>
    <row r="130">
      <c r="A130" s="23" t="n">
        <v>114</v>
      </c>
      <c r="B130" s="24">
        <f>EDATE(TODAY(),A130)</f>
        <v/>
      </c>
      <c r="C130" s="25">
        <f>Inputs!$B$5+A130/12</f>
        <v/>
      </c>
      <c r="D130" s="15">
        <f>D129*(1+$B$8)^(1/12)+$B$10</f>
        <v/>
      </c>
      <c r="E130" s="15">
        <f>E129*(1+$B$9)^(1/12)</f>
        <v/>
      </c>
      <c r="F130" s="15">
        <f>D130+E130</f>
        <v/>
      </c>
      <c r="G130" s="15">
        <f>$B$6</f>
        <v/>
      </c>
      <c r="H130" s="15">
        <f>$B$7</f>
        <v/>
      </c>
      <c r="I130" s="22">
        <f>IF(AND(F130&gt;=G130,D130&gt;=H130),"FI reached","")</f>
        <v/>
      </c>
      <c r="J130" s="22">
        <f>IF(A130=720,"60-year model limit","")</f>
        <v/>
      </c>
    </row>
    <row r="131">
      <c r="A131" s="23" t="n">
        <v>115</v>
      </c>
      <c r="B131" s="24">
        <f>EDATE(TODAY(),A131)</f>
        <v/>
      </c>
      <c r="C131" s="25">
        <f>Inputs!$B$5+A131/12</f>
        <v/>
      </c>
      <c r="D131" s="15">
        <f>D130*(1+$B$8)^(1/12)+$B$10</f>
        <v/>
      </c>
      <c r="E131" s="15">
        <f>E130*(1+$B$9)^(1/12)</f>
        <v/>
      </c>
      <c r="F131" s="15">
        <f>D131+E131</f>
        <v/>
      </c>
      <c r="G131" s="15">
        <f>$B$6</f>
        <v/>
      </c>
      <c r="H131" s="15">
        <f>$B$7</f>
        <v/>
      </c>
      <c r="I131" s="22">
        <f>IF(AND(F131&gt;=G131,D131&gt;=H131),"FI reached","")</f>
        <v/>
      </c>
      <c r="J131" s="22">
        <f>IF(A131=720,"60-year model limit","")</f>
        <v/>
      </c>
    </row>
    <row r="132">
      <c r="A132" s="23" t="n">
        <v>116</v>
      </c>
      <c r="B132" s="24">
        <f>EDATE(TODAY(),A132)</f>
        <v/>
      </c>
      <c r="C132" s="25">
        <f>Inputs!$B$5+A132/12</f>
        <v/>
      </c>
      <c r="D132" s="15">
        <f>D131*(1+$B$8)^(1/12)+$B$10</f>
        <v/>
      </c>
      <c r="E132" s="15">
        <f>E131*(1+$B$9)^(1/12)</f>
        <v/>
      </c>
      <c r="F132" s="15">
        <f>D132+E132</f>
        <v/>
      </c>
      <c r="G132" s="15">
        <f>$B$6</f>
        <v/>
      </c>
      <c r="H132" s="15">
        <f>$B$7</f>
        <v/>
      </c>
      <c r="I132" s="22">
        <f>IF(AND(F132&gt;=G132,D132&gt;=H132),"FI reached","")</f>
        <v/>
      </c>
      <c r="J132" s="22">
        <f>IF(A132=720,"60-year model limit","")</f>
        <v/>
      </c>
    </row>
    <row r="133">
      <c r="A133" s="23" t="n">
        <v>117</v>
      </c>
      <c r="B133" s="24">
        <f>EDATE(TODAY(),A133)</f>
        <v/>
      </c>
      <c r="C133" s="25">
        <f>Inputs!$B$5+A133/12</f>
        <v/>
      </c>
      <c r="D133" s="15">
        <f>D132*(1+$B$8)^(1/12)+$B$10</f>
        <v/>
      </c>
      <c r="E133" s="15">
        <f>E132*(1+$B$9)^(1/12)</f>
        <v/>
      </c>
      <c r="F133" s="15">
        <f>D133+E133</f>
        <v/>
      </c>
      <c r="G133" s="15">
        <f>$B$6</f>
        <v/>
      </c>
      <c r="H133" s="15">
        <f>$B$7</f>
        <v/>
      </c>
      <c r="I133" s="22">
        <f>IF(AND(F133&gt;=G133,D133&gt;=H133),"FI reached","")</f>
        <v/>
      </c>
      <c r="J133" s="22">
        <f>IF(A133=720,"60-year model limit","")</f>
        <v/>
      </c>
    </row>
    <row r="134">
      <c r="A134" s="23" t="n">
        <v>118</v>
      </c>
      <c r="B134" s="24">
        <f>EDATE(TODAY(),A134)</f>
        <v/>
      </c>
      <c r="C134" s="25">
        <f>Inputs!$B$5+A134/12</f>
        <v/>
      </c>
      <c r="D134" s="15">
        <f>D133*(1+$B$8)^(1/12)+$B$10</f>
        <v/>
      </c>
      <c r="E134" s="15">
        <f>E133*(1+$B$9)^(1/12)</f>
        <v/>
      </c>
      <c r="F134" s="15">
        <f>D134+E134</f>
        <v/>
      </c>
      <c r="G134" s="15">
        <f>$B$6</f>
        <v/>
      </c>
      <c r="H134" s="15">
        <f>$B$7</f>
        <v/>
      </c>
      <c r="I134" s="22">
        <f>IF(AND(F134&gt;=G134,D134&gt;=H134),"FI reached","")</f>
        <v/>
      </c>
      <c r="J134" s="22">
        <f>IF(A134=720,"60-year model limit","")</f>
        <v/>
      </c>
    </row>
    <row r="135">
      <c r="A135" s="23" t="n">
        <v>119</v>
      </c>
      <c r="B135" s="24">
        <f>EDATE(TODAY(),A135)</f>
        <v/>
      </c>
      <c r="C135" s="25">
        <f>Inputs!$B$5+A135/12</f>
        <v/>
      </c>
      <c r="D135" s="15">
        <f>D134*(1+$B$8)^(1/12)+$B$10</f>
        <v/>
      </c>
      <c r="E135" s="15">
        <f>E134*(1+$B$9)^(1/12)</f>
        <v/>
      </c>
      <c r="F135" s="15">
        <f>D135+E135</f>
        <v/>
      </c>
      <c r="G135" s="15">
        <f>$B$6</f>
        <v/>
      </c>
      <c r="H135" s="15">
        <f>$B$7</f>
        <v/>
      </c>
      <c r="I135" s="22">
        <f>IF(AND(F135&gt;=G135,D135&gt;=H135),"FI reached","")</f>
        <v/>
      </c>
      <c r="J135" s="22">
        <f>IF(A135=720,"60-year model limit","")</f>
        <v/>
      </c>
    </row>
    <row r="136">
      <c r="A136" s="23" t="n">
        <v>120</v>
      </c>
      <c r="B136" s="24">
        <f>EDATE(TODAY(),A136)</f>
        <v/>
      </c>
      <c r="C136" s="25">
        <f>Inputs!$B$5+A136/12</f>
        <v/>
      </c>
      <c r="D136" s="15">
        <f>D135*(1+$B$8)^(1/12)+$B$10</f>
        <v/>
      </c>
      <c r="E136" s="15">
        <f>E135*(1+$B$9)^(1/12)</f>
        <v/>
      </c>
      <c r="F136" s="15">
        <f>D136+E136</f>
        <v/>
      </c>
      <c r="G136" s="15">
        <f>$B$6</f>
        <v/>
      </c>
      <c r="H136" s="15">
        <f>$B$7</f>
        <v/>
      </c>
      <c r="I136" s="22">
        <f>IF(AND(F136&gt;=G136,D136&gt;=H136),"FI reached","")</f>
        <v/>
      </c>
      <c r="J136" s="22">
        <f>IF(A136=720,"60-year model limit","")</f>
        <v/>
      </c>
    </row>
    <row r="137">
      <c r="A137" s="23" t="n">
        <v>121</v>
      </c>
      <c r="B137" s="24">
        <f>EDATE(TODAY(),A137)</f>
        <v/>
      </c>
      <c r="C137" s="25">
        <f>Inputs!$B$5+A137/12</f>
        <v/>
      </c>
      <c r="D137" s="15">
        <f>D136*(1+$B$8)^(1/12)+$B$10</f>
        <v/>
      </c>
      <c r="E137" s="15">
        <f>E136*(1+$B$9)^(1/12)</f>
        <v/>
      </c>
      <c r="F137" s="15">
        <f>D137+E137</f>
        <v/>
      </c>
      <c r="G137" s="15">
        <f>$B$6</f>
        <v/>
      </c>
      <c r="H137" s="15">
        <f>$B$7</f>
        <v/>
      </c>
      <c r="I137" s="22">
        <f>IF(AND(F137&gt;=G137,D137&gt;=H137),"FI reached","")</f>
        <v/>
      </c>
      <c r="J137" s="22">
        <f>IF(A137=720,"60-year model limit","")</f>
        <v/>
      </c>
    </row>
    <row r="138">
      <c r="A138" s="23" t="n">
        <v>122</v>
      </c>
      <c r="B138" s="24">
        <f>EDATE(TODAY(),A138)</f>
        <v/>
      </c>
      <c r="C138" s="25">
        <f>Inputs!$B$5+A138/12</f>
        <v/>
      </c>
      <c r="D138" s="15">
        <f>D137*(1+$B$8)^(1/12)+$B$10</f>
        <v/>
      </c>
      <c r="E138" s="15">
        <f>E137*(1+$B$9)^(1/12)</f>
        <v/>
      </c>
      <c r="F138" s="15">
        <f>D138+E138</f>
        <v/>
      </c>
      <c r="G138" s="15">
        <f>$B$6</f>
        <v/>
      </c>
      <c r="H138" s="15">
        <f>$B$7</f>
        <v/>
      </c>
      <c r="I138" s="22">
        <f>IF(AND(F138&gt;=G138,D138&gt;=H138),"FI reached","")</f>
        <v/>
      </c>
      <c r="J138" s="22">
        <f>IF(A138=720,"60-year model limit","")</f>
        <v/>
      </c>
    </row>
    <row r="139">
      <c r="A139" s="23" t="n">
        <v>123</v>
      </c>
      <c r="B139" s="24">
        <f>EDATE(TODAY(),A139)</f>
        <v/>
      </c>
      <c r="C139" s="25">
        <f>Inputs!$B$5+A139/12</f>
        <v/>
      </c>
      <c r="D139" s="15">
        <f>D138*(1+$B$8)^(1/12)+$B$10</f>
        <v/>
      </c>
      <c r="E139" s="15">
        <f>E138*(1+$B$9)^(1/12)</f>
        <v/>
      </c>
      <c r="F139" s="15">
        <f>D139+E139</f>
        <v/>
      </c>
      <c r="G139" s="15">
        <f>$B$6</f>
        <v/>
      </c>
      <c r="H139" s="15">
        <f>$B$7</f>
        <v/>
      </c>
      <c r="I139" s="22">
        <f>IF(AND(F139&gt;=G139,D139&gt;=H139),"FI reached","")</f>
        <v/>
      </c>
      <c r="J139" s="22">
        <f>IF(A139=720,"60-year model limit","")</f>
        <v/>
      </c>
    </row>
    <row r="140">
      <c r="A140" s="23" t="n">
        <v>124</v>
      </c>
      <c r="B140" s="24">
        <f>EDATE(TODAY(),A140)</f>
        <v/>
      </c>
      <c r="C140" s="25">
        <f>Inputs!$B$5+A140/12</f>
        <v/>
      </c>
      <c r="D140" s="15">
        <f>D139*(1+$B$8)^(1/12)+$B$10</f>
        <v/>
      </c>
      <c r="E140" s="15">
        <f>E139*(1+$B$9)^(1/12)</f>
        <v/>
      </c>
      <c r="F140" s="15">
        <f>D140+E140</f>
        <v/>
      </c>
      <c r="G140" s="15">
        <f>$B$6</f>
        <v/>
      </c>
      <c r="H140" s="15">
        <f>$B$7</f>
        <v/>
      </c>
      <c r="I140" s="22">
        <f>IF(AND(F140&gt;=G140,D140&gt;=H140),"FI reached","")</f>
        <v/>
      </c>
      <c r="J140" s="22">
        <f>IF(A140=720,"60-year model limit","")</f>
        <v/>
      </c>
    </row>
    <row r="141">
      <c r="A141" s="23" t="n">
        <v>125</v>
      </c>
      <c r="B141" s="24">
        <f>EDATE(TODAY(),A141)</f>
        <v/>
      </c>
      <c r="C141" s="25">
        <f>Inputs!$B$5+A141/12</f>
        <v/>
      </c>
      <c r="D141" s="15">
        <f>D140*(1+$B$8)^(1/12)+$B$10</f>
        <v/>
      </c>
      <c r="E141" s="15">
        <f>E140*(1+$B$9)^(1/12)</f>
        <v/>
      </c>
      <c r="F141" s="15">
        <f>D141+E141</f>
        <v/>
      </c>
      <c r="G141" s="15">
        <f>$B$6</f>
        <v/>
      </c>
      <c r="H141" s="15">
        <f>$B$7</f>
        <v/>
      </c>
      <c r="I141" s="22">
        <f>IF(AND(F141&gt;=G141,D141&gt;=H141),"FI reached","")</f>
        <v/>
      </c>
      <c r="J141" s="22">
        <f>IF(A141=720,"60-year model limit","")</f>
        <v/>
      </c>
    </row>
    <row r="142">
      <c r="A142" s="23" t="n">
        <v>126</v>
      </c>
      <c r="B142" s="24">
        <f>EDATE(TODAY(),A142)</f>
        <v/>
      </c>
      <c r="C142" s="25">
        <f>Inputs!$B$5+A142/12</f>
        <v/>
      </c>
      <c r="D142" s="15">
        <f>D141*(1+$B$8)^(1/12)+$B$10</f>
        <v/>
      </c>
      <c r="E142" s="15">
        <f>E141*(1+$B$9)^(1/12)</f>
        <v/>
      </c>
      <c r="F142" s="15">
        <f>D142+E142</f>
        <v/>
      </c>
      <c r="G142" s="15">
        <f>$B$6</f>
        <v/>
      </c>
      <c r="H142" s="15">
        <f>$B$7</f>
        <v/>
      </c>
      <c r="I142" s="22">
        <f>IF(AND(F142&gt;=G142,D142&gt;=H142),"FI reached","")</f>
        <v/>
      </c>
      <c r="J142" s="22">
        <f>IF(A142=720,"60-year model limit","")</f>
        <v/>
      </c>
    </row>
    <row r="143">
      <c r="A143" s="23" t="n">
        <v>127</v>
      </c>
      <c r="B143" s="24">
        <f>EDATE(TODAY(),A143)</f>
        <v/>
      </c>
      <c r="C143" s="25">
        <f>Inputs!$B$5+A143/12</f>
        <v/>
      </c>
      <c r="D143" s="15">
        <f>D142*(1+$B$8)^(1/12)+$B$10</f>
        <v/>
      </c>
      <c r="E143" s="15">
        <f>E142*(1+$B$9)^(1/12)</f>
        <v/>
      </c>
      <c r="F143" s="15">
        <f>D143+E143</f>
        <v/>
      </c>
      <c r="G143" s="15">
        <f>$B$6</f>
        <v/>
      </c>
      <c r="H143" s="15">
        <f>$B$7</f>
        <v/>
      </c>
      <c r="I143" s="22">
        <f>IF(AND(F143&gt;=G143,D143&gt;=H143),"FI reached","")</f>
        <v/>
      </c>
      <c r="J143" s="22">
        <f>IF(A143=720,"60-year model limit","")</f>
        <v/>
      </c>
    </row>
    <row r="144">
      <c r="A144" s="23" t="n">
        <v>128</v>
      </c>
      <c r="B144" s="24">
        <f>EDATE(TODAY(),A144)</f>
        <v/>
      </c>
      <c r="C144" s="25">
        <f>Inputs!$B$5+A144/12</f>
        <v/>
      </c>
      <c r="D144" s="15">
        <f>D143*(1+$B$8)^(1/12)+$B$10</f>
        <v/>
      </c>
      <c r="E144" s="15">
        <f>E143*(1+$B$9)^(1/12)</f>
        <v/>
      </c>
      <c r="F144" s="15">
        <f>D144+E144</f>
        <v/>
      </c>
      <c r="G144" s="15">
        <f>$B$6</f>
        <v/>
      </c>
      <c r="H144" s="15">
        <f>$B$7</f>
        <v/>
      </c>
      <c r="I144" s="22">
        <f>IF(AND(F144&gt;=G144,D144&gt;=H144),"FI reached","")</f>
        <v/>
      </c>
      <c r="J144" s="22">
        <f>IF(A144=720,"60-year model limit","")</f>
        <v/>
      </c>
    </row>
    <row r="145">
      <c r="A145" s="23" t="n">
        <v>129</v>
      </c>
      <c r="B145" s="24">
        <f>EDATE(TODAY(),A145)</f>
        <v/>
      </c>
      <c r="C145" s="25">
        <f>Inputs!$B$5+A145/12</f>
        <v/>
      </c>
      <c r="D145" s="15">
        <f>D144*(1+$B$8)^(1/12)+$B$10</f>
        <v/>
      </c>
      <c r="E145" s="15">
        <f>E144*(1+$B$9)^(1/12)</f>
        <v/>
      </c>
      <c r="F145" s="15">
        <f>D145+E145</f>
        <v/>
      </c>
      <c r="G145" s="15">
        <f>$B$6</f>
        <v/>
      </c>
      <c r="H145" s="15">
        <f>$B$7</f>
        <v/>
      </c>
      <c r="I145" s="22">
        <f>IF(AND(F145&gt;=G145,D145&gt;=H145),"FI reached","")</f>
        <v/>
      </c>
      <c r="J145" s="22">
        <f>IF(A145=720,"60-year model limit","")</f>
        <v/>
      </c>
    </row>
    <row r="146">
      <c r="A146" s="23" t="n">
        <v>130</v>
      </c>
      <c r="B146" s="24">
        <f>EDATE(TODAY(),A146)</f>
        <v/>
      </c>
      <c r="C146" s="25">
        <f>Inputs!$B$5+A146/12</f>
        <v/>
      </c>
      <c r="D146" s="15">
        <f>D145*(1+$B$8)^(1/12)+$B$10</f>
        <v/>
      </c>
      <c r="E146" s="15">
        <f>E145*(1+$B$9)^(1/12)</f>
        <v/>
      </c>
      <c r="F146" s="15">
        <f>D146+E146</f>
        <v/>
      </c>
      <c r="G146" s="15">
        <f>$B$6</f>
        <v/>
      </c>
      <c r="H146" s="15">
        <f>$B$7</f>
        <v/>
      </c>
      <c r="I146" s="22">
        <f>IF(AND(F146&gt;=G146,D146&gt;=H146),"FI reached","")</f>
        <v/>
      </c>
      <c r="J146" s="22">
        <f>IF(A146=720,"60-year model limit","")</f>
        <v/>
      </c>
    </row>
    <row r="147">
      <c r="A147" s="23" t="n">
        <v>131</v>
      </c>
      <c r="B147" s="24">
        <f>EDATE(TODAY(),A147)</f>
        <v/>
      </c>
      <c r="C147" s="25">
        <f>Inputs!$B$5+A147/12</f>
        <v/>
      </c>
      <c r="D147" s="15">
        <f>D146*(1+$B$8)^(1/12)+$B$10</f>
        <v/>
      </c>
      <c r="E147" s="15">
        <f>E146*(1+$B$9)^(1/12)</f>
        <v/>
      </c>
      <c r="F147" s="15">
        <f>D147+E147</f>
        <v/>
      </c>
      <c r="G147" s="15">
        <f>$B$6</f>
        <v/>
      </c>
      <c r="H147" s="15">
        <f>$B$7</f>
        <v/>
      </c>
      <c r="I147" s="22">
        <f>IF(AND(F147&gt;=G147,D147&gt;=H147),"FI reached","")</f>
        <v/>
      </c>
      <c r="J147" s="22">
        <f>IF(A147=720,"60-year model limit","")</f>
        <v/>
      </c>
    </row>
    <row r="148">
      <c r="A148" s="23" t="n">
        <v>132</v>
      </c>
      <c r="B148" s="24">
        <f>EDATE(TODAY(),A148)</f>
        <v/>
      </c>
      <c r="C148" s="25">
        <f>Inputs!$B$5+A148/12</f>
        <v/>
      </c>
      <c r="D148" s="15">
        <f>D147*(1+$B$8)^(1/12)+$B$10</f>
        <v/>
      </c>
      <c r="E148" s="15">
        <f>E147*(1+$B$9)^(1/12)</f>
        <v/>
      </c>
      <c r="F148" s="15">
        <f>D148+E148</f>
        <v/>
      </c>
      <c r="G148" s="15">
        <f>$B$6</f>
        <v/>
      </c>
      <c r="H148" s="15">
        <f>$B$7</f>
        <v/>
      </c>
      <c r="I148" s="22">
        <f>IF(AND(F148&gt;=G148,D148&gt;=H148),"FI reached","")</f>
        <v/>
      </c>
      <c r="J148" s="22">
        <f>IF(A148=720,"60-year model limit","")</f>
        <v/>
      </c>
    </row>
    <row r="149">
      <c r="A149" s="23" t="n">
        <v>133</v>
      </c>
      <c r="B149" s="24">
        <f>EDATE(TODAY(),A149)</f>
        <v/>
      </c>
      <c r="C149" s="25">
        <f>Inputs!$B$5+A149/12</f>
        <v/>
      </c>
      <c r="D149" s="15">
        <f>D148*(1+$B$8)^(1/12)+$B$10</f>
        <v/>
      </c>
      <c r="E149" s="15">
        <f>E148*(1+$B$9)^(1/12)</f>
        <v/>
      </c>
      <c r="F149" s="15">
        <f>D149+E149</f>
        <v/>
      </c>
      <c r="G149" s="15">
        <f>$B$6</f>
        <v/>
      </c>
      <c r="H149" s="15">
        <f>$B$7</f>
        <v/>
      </c>
      <c r="I149" s="22">
        <f>IF(AND(F149&gt;=G149,D149&gt;=H149),"FI reached","")</f>
        <v/>
      </c>
      <c r="J149" s="22">
        <f>IF(A149=720,"60-year model limit","")</f>
        <v/>
      </c>
    </row>
    <row r="150">
      <c r="A150" s="23" t="n">
        <v>134</v>
      </c>
      <c r="B150" s="24">
        <f>EDATE(TODAY(),A150)</f>
        <v/>
      </c>
      <c r="C150" s="25">
        <f>Inputs!$B$5+A150/12</f>
        <v/>
      </c>
      <c r="D150" s="15">
        <f>D149*(1+$B$8)^(1/12)+$B$10</f>
        <v/>
      </c>
      <c r="E150" s="15">
        <f>E149*(1+$B$9)^(1/12)</f>
        <v/>
      </c>
      <c r="F150" s="15">
        <f>D150+E150</f>
        <v/>
      </c>
      <c r="G150" s="15">
        <f>$B$6</f>
        <v/>
      </c>
      <c r="H150" s="15">
        <f>$B$7</f>
        <v/>
      </c>
      <c r="I150" s="22">
        <f>IF(AND(F150&gt;=G150,D150&gt;=H150),"FI reached","")</f>
        <v/>
      </c>
      <c r="J150" s="22">
        <f>IF(A150=720,"60-year model limit","")</f>
        <v/>
      </c>
    </row>
    <row r="151">
      <c r="A151" s="23" t="n">
        <v>135</v>
      </c>
      <c r="B151" s="24">
        <f>EDATE(TODAY(),A151)</f>
        <v/>
      </c>
      <c r="C151" s="25">
        <f>Inputs!$B$5+A151/12</f>
        <v/>
      </c>
      <c r="D151" s="15">
        <f>D150*(1+$B$8)^(1/12)+$B$10</f>
        <v/>
      </c>
      <c r="E151" s="15">
        <f>E150*(1+$B$9)^(1/12)</f>
        <v/>
      </c>
      <c r="F151" s="15">
        <f>D151+E151</f>
        <v/>
      </c>
      <c r="G151" s="15">
        <f>$B$6</f>
        <v/>
      </c>
      <c r="H151" s="15">
        <f>$B$7</f>
        <v/>
      </c>
      <c r="I151" s="22">
        <f>IF(AND(F151&gt;=G151,D151&gt;=H151),"FI reached","")</f>
        <v/>
      </c>
      <c r="J151" s="22">
        <f>IF(A151=720,"60-year model limit","")</f>
        <v/>
      </c>
    </row>
    <row r="152">
      <c r="A152" s="23" t="n">
        <v>136</v>
      </c>
      <c r="B152" s="24">
        <f>EDATE(TODAY(),A152)</f>
        <v/>
      </c>
      <c r="C152" s="25">
        <f>Inputs!$B$5+A152/12</f>
        <v/>
      </c>
      <c r="D152" s="15">
        <f>D151*(1+$B$8)^(1/12)+$B$10</f>
        <v/>
      </c>
      <c r="E152" s="15">
        <f>E151*(1+$B$9)^(1/12)</f>
        <v/>
      </c>
      <c r="F152" s="15">
        <f>D152+E152</f>
        <v/>
      </c>
      <c r="G152" s="15">
        <f>$B$6</f>
        <v/>
      </c>
      <c r="H152" s="15">
        <f>$B$7</f>
        <v/>
      </c>
      <c r="I152" s="22">
        <f>IF(AND(F152&gt;=G152,D152&gt;=H152),"FI reached","")</f>
        <v/>
      </c>
      <c r="J152" s="22">
        <f>IF(A152=720,"60-year model limit","")</f>
        <v/>
      </c>
    </row>
    <row r="153">
      <c r="A153" s="23" t="n">
        <v>137</v>
      </c>
      <c r="B153" s="24">
        <f>EDATE(TODAY(),A153)</f>
        <v/>
      </c>
      <c r="C153" s="25">
        <f>Inputs!$B$5+A153/12</f>
        <v/>
      </c>
      <c r="D153" s="15">
        <f>D152*(1+$B$8)^(1/12)+$B$10</f>
        <v/>
      </c>
      <c r="E153" s="15">
        <f>E152*(1+$B$9)^(1/12)</f>
        <v/>
      </c>
      <c r="F153" s="15">
        <f>D153+E153</f>
        <v/>
      </c>
      <c r="G153" s="15">
        <f>$B$6</f>
        <v/>
      </c>
      <c r="H153" s="15">
        <f>$B$7</f>
        <v/>
      </c>
      <c r="I153" s="22">
        <f>IF(AND(F153&gt;=G153,D153&gt;=H153),"FI reached","")</f>
        <v/>
      </c>
      <c r="J153" s="22">
        <f>IF(A153=720,"60-year model limit","")</f>
        <v/>
      </c>
    </row>
    <row r="154">
      <c r="A154" s="23" t="n">
        <v>138</v>
      </c>
      <c r="B154" s="24">
        <f>EDATE(TODAY(),A154)</f>
        <v/>
      </c>
      <c r="C154" s="25">
        <f>Inputs!$B$5+A154/12</f>
        <v/>
      </c>
      <c r="D154" s="15">
        <f>D153*(1+$B$8)^(1/12)+$B$10</f>
        <v/>
      </c>
      <c r="E154" s="15">
        <f>E153*(1+$B$9)^(1/12)</f>
        <v/>
      </c>
      <c r="F154" s="15">
        <f>D154+E154</f>
        <v/>
      </c>
      <c r="G154" s="15">
        <f>$B$6</f>
        <v/>
      </c>
      <c r="H154" s="15">
        <f>$B$7</f>
        <v/>
      </c>
      <c r="I154" s="22">
        <f>IF(AND(F154&gt;=G154,D154&gt;=H154),"FI reached","")</f>
        <v/>
      </c>
      <c r="J154" s="22">
        <f>IF(A154=720,"60-year model limit","")</f>
        <v/>
      </c>
    </row>
    <row r="155">
      <c r="A155" s="23" t="n">
        <v>139</v>
      </c>
      <c r="B155" s="24">
        <f>EDATE(TODAY(),A155)</f>
        <v/>
      </c>
      <c r="C155" s="25">
        <f>Inputs!$B$5+A155/12</f>
        <v/>
      </c>
      <c r="D155" s="15">
        <f>D154*(1+$B$8)^(1/12)+$B$10</f>
        <v/>
      </c>
      <c r="E155" s="15">
        <f>E154*(1+$B$9)^(1/12)</f>
        <v/>
      </c>
      <c r="F155" s="15">
        <f>D155+E155</f>
        <v/>
      </c>
      <c r="G155" s="15">
        <f>$B$6</f>
        <v/>
      </c>
      <c r="H155" s="15">
        <f>$B$7</f>
        <v/>
      </c>
      <c r="I155" s="22">
        <f>IF(AND(F155&gt;=G155,D155&gt;=H155),"FI reached","")</f>
        <v/>
      </c>
      <c r="J155" s="22">
        <f>IF(A155=720,"60-year model limit","")</f>
        <v/>
      </c>
    </row>
    <row r="156">
      <c r="A156" s="23" t="n">
        <v>140</v>
      </c>
      <c r="B156" s="24">
        <f>EDATE(TODAY(),A156)</f>
        <v/>
      </c>
      <c r="C156" s="25">
        <f>Inputs!$B$5+A156/12</f>
        <v/>
      </c>
      <c r="D156" s="15">
        <f>D155*(1+$B$8)^(1/12)+$B$10</f>
        <v/>
      </c>
      <c r="E156" s="15">
        <f>E155*(1+$B$9)^(1/12)</f>
        <v/>
      </c>
      <c r="F156" s="15">
        <f>D156+E156</f>
        <v/>
      </c>
      <c r="G156" s="15">
        <f>$B$6</f>
        <v/>
      </c>
      <c r="H156" s="15">
        <f>$B$7</f>
        <v/>
      </c>
      <c r="I156" s="22">
        <f>IF(AND(F156&gt;=G156,D156&gt;=H156),"FI reached","")</f>
        <v/>
      </c>
      <c r="J156" s="22">
        <f>IF(A156=720,"60-year model limit","")</f>
        <v/>
      </c>
    </row>
    <row r="157">
      <c r="A157" s="23" t="n">
        <v>141</v>
      </c>
      <c r="B157" s="24">
        <f>EDATE(TODAY(),A157)</f>
        <v/>
      </c>
      <c r="C157" s="25">
        <f>Inputs!$B$5+A157/12</f>
        <v/>
      </c>
      <c r="D157" s="15">
        <f>D156*(1+$B$8)^(1/12)+$B$10</f>
        <v/>
      </c>
      <c r="E157" s="15">
        <f>E156*(1+$B$9)^(1/12)</f>
        <v/>
      </c>
      <c r="F157" s="15">
        <f>D157+E157</f>
        <v/>
      </c>
      <c r="G157" s="15">
        <f>$B$6</f>
        <v/>
      </c>
      <c r="H157" s="15">
        <f>$B$7</f>
        <v/>
      </c>
      <c r="I157" s="22">
        <f>IF(AND(F157&gt;=G157,D157&gt;=H157),"FI reached","")</f>
        <v/>
      </c>
      <c r="J157" s="22">
        <f>IF(A157=720,"60-year model limit","")</f>
        <v/>
      </c>
    </row>
    <row r="158">
      <c r="A158" s="23" t="n">
        <v>142</v>
      </c>
      <c r="B158" s="24">
        <f>EDATE(TODAY(),A158)</f>
        <v/>
      </c>
      <c r="C158" s="25">
        <f>Inputs!$B$5+A158/12</f>
        <v/>
      </c>
      <c r="D158" s="15">
        <f>D157*(1+$B$8)^(1/12)+$B$10</f>
        <v/>
      </c>
      <c r="E158" s="15">
        <f>E157*(1+$B$9)^(1/12)</f>
        <v/>
      </c>
      <c r="F158" s="15">
        <f>D158+E158</f>
        <v/>
      </c>
      <c r="G158" s="15">
        <f>$B$6</f>
        <v/>
      </c>
      <c r="H158" s="15">
        <f>$B$7</f>
        <v/>
      </c>
      <c r="I158" s="22">
        <f>IF(AND(F158&gt;=G158,D158&gt;=H158),"FI reached","")</f>
        <v/>
      </c>
      <c r="J158" s="22">
        <f>IF(A158=720,"60-year model limit","")</f>
        <v/>
      </c>
    </row>
    <row r="159">
      <c r="A159" s="23" t="n">
        <v>143</v>
      </c>
      <c r="B159" s="24">
        <f>EDATE(TODAY(),A159)</f>
        <v/>
      </c>
      <c r="C159" s="25">
        <f>Inputs!$B$5+A159/12</f>
        <v/>
      </c>
      <c r="D159" s="15">
        <f>D158*(1+$B$8)^(1/12)+$B$10</f>
        <v/>
      </c>
      <c r="E159" s="15">
        <f>E158*(1+$B$9)^(1/12)</f>
        <v/>
      </c>
      <c r="F159" s="15">
        <f>D159+E159</f>
        <v/>
      </c>
      <c r="G159" s="15">
        <f>$B$6</f>
        <v/>
      </c>
      <c r="H159" s="15">
        <f>$B$7</f>
        <v/>
      </c>
      <c r="I159" s="22">
        <f>IF(AND(F159&gt;=G159,D159&gt;=H159),"FI reached","")</f>
        <v/>
      </c>
      <c r="J159" s="22">
        <f>IF(A159=720,"60-year model limit","")</f>
        <v/>
      </c>
    </row>
    <row r="160">
      <c r="A160" s="23" t="n">
        <v>144</v>
      </c>
      <c r="B160" s="24">
        <f>EDATE(TODAY(),A160)</f>
        <v/>
      </c>
      <c r="C160" s="25">
        <f>Inputs!$B$5+A160/12</f>
        <v/>
      </c>
      <c r="D160" s="15">
        <f>D159*(1+$B$8)^(1/12)+$B$10</f>
        <v/>
      </c>
      <c r="E160" s="15">
        <f>E159*(1+$B$9)^(1/12)</f>
        <v/>
      </c>
      <c r="F160" s="15">
        <f>D160+E160</f>
        <v/>
      </c>
      <c r="G160" s="15">
        <f>$B$6</f>
        <v/>
      </c>
      <c r="H160" s="15">
        <f>$B$7</f>
        <v/>
      </c>
      <c r="I160" s="22">
        <f>IF(AND(F160&gt;=G160,D160&gt;=H160),"FI reached","")</f>
        <v/>
      </c>
      <c r="J160" s="22">
        <f>IF(A160=720,"60-year model limit","")</f>
        <v/>
      </c>
    </row>
    <row r="161">
      <c r="A161" s="23" t="n">
        <v>145</v>
      </c>
      <c r="B161" s="24">
        <f>EDATE(TODAY(),A161)</f>
        <v/>
      </c>
      <c r="C161" s="25">
        <f>Inputs!$B$5+A161/12</f>
        <v/>
      </c>
      <c r="D161" s="15">
        <f>D160*(1+$B$8)^(1/12)+$B$10</f>
        <v/>
      </c>
      <c r="E161" s="15">
        <f>E160*(1+$B$9)^(1/12)</f>
        <v/>
      </c>
      <c r="F161" s="15">
        <f>D161+E161</f>
        <v/>
      </c>
      <c r="G161" s="15">
        <f>$B$6</f>
        <v/>
      </c>
      <c r="H161" s="15">
        <f>$B$7</f>
        <v/>
      </c>
      <c r="I161" s="22">
        <f>IF(AND(F161&gt;=G161,D161&gt;=H161),"FI reached","")</f>
        <v/>
      </c>
      <c r="J161" s="22">
        <f>IF(A161=720,"60-year model limit","")</f>
        <v/>
      </c>
    </row>
    <row r="162">
      <c r="A162" s="23" t="n">
        <v>146</v>
      </c>
      <c r="B162" s="24">
        <f>EDATE(TODAY(),A162)</f>
        <v/>
      </c>
      <c r="C162" s="25">
        <f>Inputs!$B$5+A162/12</f>
        <v/>
      </c>
      <c r="D162" s="15">
        <f>D161*(1+$B$8)^(1/12)+$B$10</f>
        <v/>
      </c>
      <c r="E162" s="15">
        <f>E161*(1+$B$9)^(1/12)</f>
        <v/>
      </c>
      <c r="F162" s="15">
        <f>D162+E162</f>
        <v/>
      </c>
      <c r="G162" s="15">
        <f>$B$6</f>
        <v/>
      </c>
      <c r="H162" s="15">
        <f>$B$7</f>
        <v/>
      </c>
      <c r="I162" s="22">
        <f>IF(AND(F162&gt;=G162,D162&gt;=H162),"FI reached","")</f>
        <v/>
      </c>
      <c r="J162" s="22">
        <f>IF(A162=720,"60-year model limit","")</f>
        <v/>
      </c>
    </row>
    <row r="163">
      <c r="A163" s="23" t="n">
        <v>147</v>
      </c>
      <c r="B163" s="24">
        <f>EDATE(TODAY(),A163)</f>
        <v/>
      </c>
      <c r="C163" s="25">
        <f>Inputs!$B$5+A163/12</f>
        <v/>
      </c>
      <c r="D163" s="15">
        <f>D162*(1+$B$8)^(1/12)+$B$10</f>
        <v/>
      </c>
      <c r="E163" s="15">
        <f>E162*(1+$B$9)^(1/12)</f>
        <v/>
      </c>
      <c r="F163" s="15">
        <f>D163+E163</f>
        <v/>
      </c>
      <c r="G163" s="15">
        <f>$B$6</f>
        <v/>
      </c>
      <c r="H163" s="15">
        <f>$B$7</f>
        <v/>
      </c>
      <c r="I163" s="22">
        <f>IF(AND(F163&gt;=G163,D163&gt;=H163),"FI reached","")</f>
        <v/>
      </c>
      <c r="J163" s="22">
        <f>IF(A163=720,"60-year model limit","")</f>
        <v/>
      </c>
    </row>
    <row r="164">
      <c r="A164" s="23" t="n">
        <v>148</v>
      </c>
      <c r="B164" s="24">
        <f>EDATE(TODAY(),A164)</f>
        <v/>
      </c>
      <c r="C164" s="25">
        <f>Inputs!$B$5+A164/12</f>
        <v/>
      </c>
      <c r="D164" s="15">
        <f>D163*(1+$B$8)^(1/12)+$B$10</f>
        <v/>
      </c>
      <c r="E164" s="15">
        <f>E163*(1+$B$9)^(1/12)</f>
        <v/>
      </c>
      <c r="F164" s="15">
        <f>D164+E164</f>
        <v/>
      </c>
      <c r="G164" s="15">
        <f>$B$6</f>
        <v/>
      </c>
      <c r="H164" s="15">
        <f>$B$7</f>
        <v/>
      </c>
      <c r="I164" s="22">
        <f>IF(AND(F164&gt;=G164,D164&gt;=H164),"FI reached","")</f>
        <v/>
      </c>
      <c r="J164" s="22">
        <f>IF(A164=720,"60-year model limit","")</f>
        <v/>
      </c>
    </row>
    <row r="165">
      <c r="A165" s="23" t="n">
        <v>149</v>
      </c>
      <c r="B165" s="24">
        <f>EDATE(TODAY(),A165)</f>
        <v/>
      </c>
      <c r="C165" s="25">
        <f>Inputs!$B$5+A165/12</f>
        <v/>
      </c>
      <c r="D165" s="15">
        <f>D164*(1+$B$8)^(1/12)+$B$10</f>
        <v/>
      </c>
      <c r="E165" s="15">
        <f>E164*(1+$B$9)^(1/12)</f>
        <v/>
      </c>
      <c r="F165" s="15">
        <f>D165+E165</f>
        <v/>
      </c>
      <c r="G165" s="15">
        <f>$B$6</f>
        <v/>
      </c>
      <c r="H165" s="15">
        <f>$B$7</f>
        <v/>
      </c>
      <c r="I165" s="22">
        <f>IF(AND(F165&gt;=G165,D165&gt;=H165),"FI reached","")</f>
        <v/>
      </c>
      <c r="J165" s="22">
        <f>IF(A165=720,"60-year model limit","")</f>
        <v/>
      </c>
    </row>
    <row r="166">
      <c r="A166" s="23" t="n">
        <v>150</v>
      </c>
      <c r="B166" s="24">
        <f>EDATE(TODAY(),A166)</f>
        <v/>
      </c>
      <c r="C166" s="25">
        <f>Inputs!$B$5+A166/12</f>
        <v/>
      </c>
      <c r="D166" s="15">
        <f>D165*(1+$B$8)^(1/12)+$B$10</f>
        <v/>
      </c>
      <c r="E166" s="15">
        <f>E165*(1+$B$9)^(1/12)</f>
        <v/>
      </c>
      <c r="F166" s="15">
        <f>D166+E166</f>
        <v/>
      </c>
      <c r="G166" s="15">
        <f>$B$6</f>
        <v/>
      </c>
      <c r="H166" s="15">
        <f>$B$7</f>
        <v/>
      </c>
      <c r="I166" s="22">
        <f>IF(AND(F166&gt;=G166,D166&gt;=H166),"FI reached","")</f>
        <v/>
      </c>
      <c r="J166" s="22">
        <f>IF(A166=720,"60-year model limit","")</f>
        <v/>
      </c>
    </row>
    <row r="167">
      <c r="A167" s="23" t="n">
        <v>151</v>
      </c>
      <c r="B167" s="24">
        <f>EDATE(TODAY(),A167)</f>
        <v/>
      </c>
      <c r="C167" s="25">
        <f>Inputs!$B$5+A167/12</f>
        <v/>
      </c>
      <c r="D167" s="15">
        <f>D166*(1+$B$8)^(1/12)+$B$10</f>
        <v/>
      </c>
      <c r="E167" s="15">
        <f>E166*(1+$B$9)^(1/12)</f>
        <v/>
      </c>
      <c r="F167" s="15">
        <f>D167+E167</f>
        <v/>
      </c>
      <c r="G167" s="15">
        <f>$B$6</f>
        <v/>
      </c>
      <c r="H167" s="15">
        <f>$B$7</f>
        <v/>
      </c>
      <c r="I167" s="22">
        <f>IF(AND(F167&gt;=G167,D167&gt;=H167),"FI reached","")</f>
        <v/>
      </c>
      <c r="J167" s="22">
        <f>IF(A167=720,"60-year model limit","")</f>
        <v/>
      </c>
    </row>
    <row r="168">
      <c r="A168" s="23" t="n">
        <v>152</v>
      </c>
      <c r="B168" s="24">
        <f>EDATE(TODAY(),A168)</f>
        <v/>
      </c>
      <c r="C168" s="25">
        <f>Inputs!$B$5+A168/12</f>
        <v/>
      </c>
      <c r="D168" s="15">
        <f>D167*(1+$B$8)^(1/12)+$B$10</f>
        <v/>
      </c>
      <c r="E168" s="15">
        <f>E167*(1+$B$9)^(1/12)</f>
        <v/>
      </c>
      <c r="F168" s="15">
        <f>D168+E168</f>
        <v/>
      </c>
      <c r="G168" s="15">
        <f>$B$6</f>
        <v/>
      </c>
      <c r="H168" s="15">
        <f>$B$7</f>
        <v/>
      </c>
      <c r="I168" s="22">
        <f>IF(AND(F168&gt;=G168,D168&gt;=H168),"FI reached","")</f>
        <v/>
      </c>
      <c r="J168" s="22">
        <f>IF(A168=720,"60-year model limit","")</f>
        <v/>
      </c>
    </row>
    <row r="169">
      <c r="A169" s="23" t="n">
        <v>153</v>
      </c>
      <c r="B169" s="24">
        <f>EDATE(TODAY(),A169)</f>
        <v/>
      </c>
      <c r="C169" s="25">
        <f>Inputs!$B$5+A169/12</f>
        <v/>
      </c>
      <c r="D169" s="15">
        <f>D168*(1+$B$8)^(1/12)+$B$10</f>
        <v/>
      </c>
      <c r="E169" s="15">
        <f>E168*(1+$B$9)^(1/12)</f>
        <v/>
      </c>
      <c r="F169" s="15">
        <f>D169+E169</f>
        <v/>
      </c>
      <c r="G169" s="15">
        <f>$B$6</f>
        <v/>
      </c>
      <c r="H169" s="15">
        <f>$B$7</f>
        <v/>
      </c>
      <c r="I169" s="22">
        <f>IF(AND(F169&gt;=G169,D169&gt;=H169),"FI reached","")</f>
        <v/>
      </c>
      <c r="J169" s="22">
        <f>IF(A169=720,"60-year model limit","")</f>
        <v/>
      </c>
    </row>
    <row r="170">
      <c r="A170" s="23" t="n">
        <v>154</v>
      </c>
      <c r="B170" s="24">
        <f>EDATE(TODAY(),A170)</f>
        <v/>
      </c>
      <c r="C170" s="25">
        <f>Inputs!$B$5+A170/12</f>
        <v/>
      </c>
      <c r="D170" s="15">
        <f>D169*(1+$B$8)^(1/12)+$B$10</f>
        <v/>
      </c>
      <c r="E170" s="15">
        <f>E169*(1+$B$9)^(1/12)</f>
        <v/>
      </c>
      <c r="F170" s="15">
        <f>D170+E170</f>
        <v/>
      </c>
      <c r="G170" s="15">
        <f>$B$6</f>
        <v/>
      </c>
      <c r="H170" s="15">
        <f>$B$7</f>
        <v/>
      </c>
      <c r="I170" s="22">
        <f>IF(AND(F170&gt;=G170,D170&gt;=H170),"FI reached","")</f>
        <v/>
      </c>
      <c r="J170" s="22">
        <f>IF(A170=720,"60-year model limit","")</f>
        <v/>
      </c>
    </row>
    <row r="171">
      <c r="A171" s="23" t="n">
        <v>155</v>
      </c>
      <c r="B171" s="24">
        <f>EDATE(TODAY(),A171)</f>
        <v/>
      </c>
      <c r="C171" s="25">
        <f>Inputs!$B$5+A171/12</f>
        <v/>
      </c>
      <c r="D171" s="15">
        <f>D170*(1+$B$8)^(1/12)+$B$10</f>
        <v/>
      </c>
      <c r="E171" s="15">
        <f>E170*(1+$B$9)^(1/12)</f>
        <v/>
      </c>
      <c r="F171" s="15">
        <f>D171+E171</f>
        <v/>
      </c>
      <c r="G171" s="15">
        <f>$B$6</f>
        <v/>
      </c>
      <c r="H171" s="15">
        <f>$B$7</f>
        <v/>
      </c>
      <c r="I171" s="22">
        <f>IF(AND(F171&gt;=G171,D171&gt;=H171),"FI reached","")</f>
        <v/>
      </c>
      <c r="J171" s="22">
        <f>IF(A171=720,"60-year model limit","")</f>
        <v/>
      </c>
    </row>
    <row r="172">
      <c r="A172" s="23" t="n">
        <v>156</v>
      </c>
      <c r="B172" s="24">
        <f>EDATE(TODAY(),A172)</f>
        <v/>
      </c>
      <c r="C172" s="25">
        <f>Inputs!$B$5+A172/12</f>
        <v/>
      </c>
      <c r="D172" s="15">
        <f>D171*(1+$B$8)^(1/12)+$B$10</f>
        <v/>
      </c>
      <c r="E172" s="15">
        <f>E171*(1+$B$9)^(1/12)</f>
        <v/>
      </c>
      <c r="F172" s="15">
        <f>D172+E172</f>
        <v/>
      </c>
      <c r="G172" s="15">
        <f>$B$6</f>
        <v/>
      </c>
      <c r="H172" s="15">
        <f>$B$7</f>
        <v/>
      </c>
      <c r="I172" s="22">
        <f>IF(AND(F172&gt;=G172,D172&gt;=H172),"FI reached","")</f>
        <v/>
      </c>
      <c r="J172" s="22">
        <f>IF(A172=720,"60-year model limit","")</f>
        <v/>
      </c>
    </row>
    <row r="173">
      <c r="A173" s="23" t="n">
        <v>157</v>
      </c>
      <c r="B173" s="24">
        <f>EDATE(TODAY(),A173)</f>
        <v/>
      </c>
      <c r="C173" s="25">
        <f>Inputs!$B$5+A173/12</f>
        <v/>
      </c>
      <c r="D173" s="15">
        <f>D172*(1+$B$8)^(1/12)+$B$10</f>
        <v/>
      </c>
      <c r="E173" s="15">
        <f>E172*(1+$B$9)^(1/12)</f>
        <v/>
      </c>
      <c r="F173" s="15">
        <f>D173+E173</f>
        <v/>
      </c>
      <c r="G173" s="15">
        <f>$B$6</f>
        <v/>
      </c>
      <c r="H173" s="15">
        <f>$B$7</f>
        <v/>
      </c>
      <c r="I173" s="22">
        <f>IF(AND(F173&gt;=G173,D173&gt;=H173),"FI reached","")</f>
        <v/>
      </c>
      <c r="J173" s="22">
        <f>IF(A173=720,"60-year model limit","")</f>
        <v/>
      </c>
    </row>
    <row r="174">
      <c r="A174" s="23" t="n">
        <v>158</v>
      </c>
      <c r="B174" s="24">
        <f>EDATE(TODAY(),A174)</f>
        <v/>
      </c>
      <c r="C174" s="25">
        <f>Inputs!$B$5+A174/12</f>
        <v/>
      </c>
      <c r="D174" s="15">
        <f>D173*(1+$B$8)^(1/12)+$B$10</f>
        <v/>
      </c>
      <c r="E174" s="15">
        <f>E173*(1+$B$9)^(1/12)</f>
        <v/>
      </c>
      <c r="F174" s="15">
        <f>D174+E174</f>
        <v/>
      </c>
      <c r="G174" s="15">
        <f>$B$6</f>
        <v/>
      </c>
      <c r="H174" s="15">
        <f>$B$7</f>
        <v/>
      </c>
      <c r="I174" s="22">
        <f>IF(AND(F174&gt;=G174,D174&gt;=H174),"FI reached","")</f>
        <v/>
      </c>
      <c r="J174" s="22">
        <f>IF(A174=720,"60-year model limit","")</f>
        <v/>
      </c>
    </row>
    <row r="175">
      <c r="A175" s="23" t="n">
        <v>159</v>
      </c>
      <c r="B175" s="24">
        <f>EDATE(TODAY(),A175)</f>
        <v/>
      </c>
      <c r="C175" s="25">
        <f>Inputs!$B$5+A175/12</f>
        <v/>
      </c>
      <c r="D175" s="15">
        <f>D174*(1+$B$8)^(1/12)+$B$10</f>
        <v/>
      </c>
      <c r="E175" s="15">
        <f>E174*(1+$B$9)^(1/12)</f>
        <v/>
      </c>
      <c r="F175" s="15">
        <f>D175+E175</f>
        <v/>
      </c>
      <c r="G175" s="15">
        <f>$B$6</f>
        <v/>
      </c>
      <c r="H175" s="15">
        <f>$B$7</f>
        <v/>
      </c>
      <c r="I175" s="22">
        <f>IF(AND(F175&gt;=G175,D175&gt;=H175),"FI reached","")</f>
        <v/>
      </c>
      <c r="J175" s="22">
        <f>IF(A175=720,"60-year model limit","")</f>
        <v/>
      </c>
    </row>
    <row r="176">
      <c r="A176" s="23" t="n">
        <v>160</v>
      </c>
      <c r="B176" s="24">
        <f>EDATE(TODAY(),A176)</f>
        <v/>
      </c>
      <c r="C176" s="25">
        <f>Inputs!$B$5+A176/12</f>
        <v/>
      </c>
      <c r="D176" s="15">
        <f>D175*(1+$B$8)^(1/12)+$B$10</f>
        <v/>
      </c>
      <c r="E176" s="15">
        <f>E175*(1+$B$9)^(1/12)</f>
        <v/>
      </c>
      <c r="F176" s="15">
        <f>D176+E176</f>
        <v/>
      </c>
      <c r="G176" s="15">
        <f>$B$6</f>
        <v/>
      </c>
      <c r="H176" s="15">
        <f>$B$7</f>
        <v/>
      </c>
      <c r="I176" s="22">
        <f>IF(AND(F176&gt;=G176,D176&gt;=H176),"FI reached","")</f>
        <v/>
      </c>
      <c r="J176" s="22">
        <f>IF(A176=720,"60-year model limit","")</f>
        <v/>
      </c>
    </row>
    <row r="177">
      <c r="A177" s="23" t="n">
        <v>161</v>
      </c>
      <c r="B177" s="24">
        <f>EDATE(TODAY(),A177)</f>
        <v/>
      </c>
      <c r="C177" s="25">
        <f>Inputs!$B$5+A177/12</f>
        <v/>
      </c>
      <c r="D177" s="15">
        <f>D176*(1+$B$8)^(1/12)+$B$10</f>
        <v/>
      </c>
      <c r="E177" s="15">
        <f>E176*(1+$B$9)^(1/12)</f>
        <v/>
      </c>
      <c r="F177" s="15">
        <f>D177+E177</f>
        <v/>
      </c>
      <c r="G177" s="15">
        <f>$B$6</f>
        <v/>
      </c>
      <c r="H177" s="15">
        <f>$B$7</f>
        <v/>
      </c>
      <c r="I177" s="22">
        <f>IF(AND(F177&gt;=G177,D177&gt;=H177),"FI reached","")</f>
        <v/>
      </c>
      <c r="J177" s="22">
        <f>IF(A177=720,"60-year model limit","")</f>
        <v/>
      </c>
    </row>
    <row r="178">
      <c r="A178" s="23" t="n">
        <v>162</v>
      </c>
      <c r="B178" s="24">
        <f>EDATE(TODAY(),A178)</f>
        <v/>
      </c>
      <c r="C178" s="25">
        <f>Inputs!$B$5+A178/12</f>
        <v/>
      </c>
      <c r="D178" s="15">
        <f>D177*(1+$B$8)^(1/12)+$B$10</f>
        <v/>
      </c>
      <c r="E178" s="15">
        <f>E177*(1+$B$9)^(1/12)</f>
        <v/>
      </c>
      <c r="F178" s="15">
        <f>D178+E178</f>
        <v/>
      </c>
      <c r="G178" s="15">
        <f>$B$6</f>
        <v/>
      </c>
      <c r="H178" s="15">
        <f>$B$7</f>
        <v/>
      </c>
      <c r="I178" s="22">
        <f>IF(AND(F178&gt;=G178,D178&gt;=H178),"FI reached","")</f>
        <v/>
      </c>
      <c r="J178" s="22">
        <f>IF(A178=720,"60-year model limit","")</f>
        <v/>
      </c>
    </row>
    <row r="179">
      <c r="A179" s="23" t="n">
        <v>163</v>
      </c>
      <c r="B179" s="24">
        <f>EDATE(TODAY(),A179)</f>
        <v/>
      </c>
      <c r="C179" s="25">
        <f>Inputs!$B$5+A179/12</f>
        <v/>
      </c>
      <c r="D179" s="15">
        <f>D178*(1+$B$8)^(1/12)+$B$10</f>
        <v/>
      </c>
      <c r="E179" s="15">
        <f>E178*(1+$B$9)^(1/12)</f>
        <v/>
      </c>
      <c r="F179" s="15">
        <f>D179+E179</f>
        <v/>
      </c>
      <c r="G179" s="15">
        <f>$B$6</f>
        <v/>
      </c>
      <c r="H179" s="15">
        <f>$B$7</f>
        <v/>
      </c>
      <c r="I179" s="22">
        <f>IF(AND(F179&gt;=G179,D179&gt;=H179),"FI reached","")</f>
        <v/>
      </c>
      <c r="J179" s="22">
        <f>IF(A179=720,"60-year model limit","")</f>
        <v/>
      </c>
    </row>
    <row r="180">
      <c r="A180" s="23" t="n">
        <v>164</v>
      </c>
      <c r="B180" s="24">
        <f>EDATE(TODAY(),A180)</f>
        <v/>
      </c>
      <c r="C180" s="25">
        <f>Inputs!$B$5+A180/12</f>
        <v/>
      </c>
      <c r="D180" s="15">
        <f>D179*(1+$B$8)^(1/12)+$B$10</f>
        <v/>
      </c>
      <c r="E180" s="15">
        <f>E179*(1+$B$9)^(1/12)</f>
        <v/>
      </c>
      <c r="F180" s="15">
        <f>D180+E180</f>
        <v/>
      </c>
      <c r="G180" s="15">
        <f>$B$6</f>
        <v/>
      </c>
      <c r="H180" s="15">
        <f>$B$7</f>
        <v/>
      </c>
      <c r="I180" s="22">
        <f>IF(AND(F180&gt;=G180,D180&gt;=H180),"FI reached","")</f>
        <v/>
      </c>
      <c r="J180" s="22">
        <f>IF(A180=720,"60-year model limit","")</f>
        <v/>
      </c>
    </row>
    <row r="181">
      <c r="A181" s="23" t="n">
        <v>165</v>
      </c>
      <c r="B181" s="24">
        <f>EDATE(TODAY(),A181)</f>
        <v/>
      </c>
      <c r="C181" s="25">
        <f>Inputs!$B$5+A181/12</f>
        <v/>
      </c>
      <c r="D181" s="15">
        <f>D180*(1+$B$8)^(1/12)+$B$10</f>
        <v/>
      </c>
      <c r="E181" s="15">
        <f>E180*(1+$B$9)^(1/12)</f>
        <v/>
      </c>
      <c r="F181" s="15">
        <f>D181+E181</f>
        <v/>
      </c>
      <c r="G181" s="15">
        <f>$B$6</f>
        <v/>
      </c>
      <c r="H181" s="15">
        <f>$B$7</f>
        <v/>
      </c>
      <c r="I181" s="22">
        <f>IF(AND(F181&gt;=G181,D181&gt;=H181),"FI reached","")</f>
        <v/>
      </c>
      <c r="J181" s="22">
        <f>IF(A181=720,"60-year model limit","")</f>
        <v/>
      </c>
    </row>
    <row r="182">
      <c r="A182" s="23" t="n">
        <v>166</v>
      </c>
      <c r="B182" s="24">
        <f>EDATE(TODAY(),A182)</f>
        <v/>
      </c>
      <c r="C182" s="25">
        <f>Inputs!$B$5+A182/12</f>
        <v/>
      </c>
      <c r="D182" s="15">
        <f>D181*(1+$B$8)^(1/12)+$B$10</f>
        <v/>
      </c>
      <c r="E182" s="15">
        <f>E181*(1+$B$9)^(1/12)</f>
        <v/>
      </c>
      <c r="F182" s="15">
        <f>D182+E182</f>
        <v/>
      </c>
      <c r="G182" s="15">
        <f>$B$6</f>
        <v/>
      </c>
      <c r="H182" s="15">
        <f>$B$7</f>
        <v/>
      </c>
      <c r="I182" s="22">
        <f>IF(AND(F182&gt;=G182,D182&gt;=H182),"FI reached","")</f>
        <v/>
      </c>
      <c r="J182" s="22">
        <f>IF(A182=720,"60-year model limit","")</f>
        <v/>
      </c>
    </row>
    <row r="183">
      <c r="A183" s="23" t="n">
        <v>167</v>
      </c>
      <c r="B183" s="24">
        <f>EDATE(TODAY(),A183)</f>
        <v/>
      </c>
      <c r="C183" s="25">
        <f>Inputs!$B$5+A183/12</f>
        <v/>
      </c>
      <c r="D183" s="15">
        <f>D182*(1+$B$8)^(1/12)+$B$10</f>
        <v/>
      </c>
      <c r="E183" s="15">
        <f>E182*(1+$B$9)^(1/12)</f>
        <v/>
      </c>
      <c r="F183" s="15">
        <f>D183+E183</f>
        <v/>
      </c>
      <c r="G183" s="15">
        <f>$B$6</f>
        <v/>
      </c>
      <c r="H183" s="15">
        <f>$B$7</f>
        <v/>
      </c>
      <c r="I183" s="22">
        <f>IF(AND(F183&gt;=G183,D183&gt;=H183),"FI reached","")</f>
        <v/>
      </c>
      <c r="J183" s="22">
        <f>IF(A183=720,"60-year model limit","")</f>
        <v/>
      </c>
    </row>
    <row r="184">
      <c r="A184" s="23" t="n">
        <v>168</v>
      </c>
      <c r="B184" s="24">
        <f>EDATE(TODAY(),A184)</f>
        <v/>
      </c>
      <c r="C184" s="25">
        <f>Inputs!$B$5+A184/12</f>
        <v/>
      </c>
      <c r="D184" s="15">
        <f>D183*(1+$B$8)^(1/12)+$B$10</f>
        <v/>
      </c>
      <c r="E184" s="15">
        <f>E183*(1+$B$9)^(1/12)</f>
        <v/>
      </c>
      <c r="F184" s="15">
        <f>D184+E184</f>
        <v/>
      </c>
      <c r="G184" s="15">
        <f>$B$6</f>
        <v/>
      </c>
      <c r="H184" s="15">
        <f>$B$7</f>
        <v/>
      </c>
      <c r="I184" s="22">
        <f>IF(AND(F184&gt;=G184,D184&gt;=H184),"FI reached","")</f>
        <v/>
      </c>
      <c r="J184" s="22">
        <f>IF(A184=720,"60-year model limit","")</f>
        <v/>
      </c>
    </row>
    <row r="185">
      <c r="A185" s="23" t="n">
        <v>169</v>
      </c>
      <c r="B185" s="24">
        <f>EDATE(TODAY(),A185)</f>
        <v/>
      </c>
      <c r="C185" s="25">
        <f>Inputs!$B$5+A185/12</f>
        <v/>
      </c>
      <c r="D185" s="15">
        <f>D184*(1+$B$8)^(1/12)+$B$10</f>
        <v/>
      </c>
      <c r="E185" s="15">
        <f>E184*(1+$B$9)^(1/12)</f>
        <v/>
      </c>
      <c r="F185" s="15">
        <f>D185+E185</f>
        <v/>
      </c>
      <c r="G185" s="15">
        <f>$B$6</f>
        <v/>
      </c>
      <c r="H185" s="15">
        <f>$B$7</f>
        <v/>
      </c>
      <c r="I185" s="22">
        <f>IF(AND(F185&gt;=G185,D185&gt;=H185),"FI reached","")</f>
        <v/>
      </c>
      <c r="J185" s="22">
        <f>IF(A185=720,"60-year model limit","")</f>
        <v/>
      </c>
    </row>
    <row r="186">
      <c r="A186" s="23" t="n">
        <v>170</v>
      </c>
      <c r="B186" s="24">
        <f>EDATE(TODAY(),A186)</f>
        <v/>
      </c>
      <c r="C186" s="25">
        <f>Inputs!$B$5+A186/12</f>
        <v/>
      </c>
      <c r="D186" s="15">
        <f>D185*(1+$B$8)^(1/12)+$B$10</f>
        <v/>
      </c>
      <c r="E186" s="15">
        <f>E185*(1+$B$9)^(1/12)</f>
        <v/>
      </c>
      <c r="F186" s="15">
        <f>D186+E186</f>
        <v/>
      </c>
      <c r="G186" s="15">
        <f>$B$6</f>
        <v/>
      </c>
      <c r="H186" s="15">
        <f>$B$7</f>
        <v/>
      </c>
      <c r="I186" s="22">
        <f>IF(AND(F186&gt;=G186,D186&gt;=H186),"FI reached","")</f>
        <v/>
      </c>
      <c r="J186" s="22">
        <f>IF(A186=720,"60-year model limit","")</f>
        <v/>
      </c>
    </row>
    <row r="187">
      <c r="A187" s="23" t="n">
        <v>171</v>
      </c>
      <c r="B187" s="24">
        <f>EDATE(TODAY(),A187)</f>
        <v/>
      </c>
      <c r="C187" s="25">
        <f>Inputs!$B$5+A187/12</f>
        <v/>
      </c>
      <c r="D187" s="15">
        <f>D186*(1+$B$8)^(1/12)+$B$10</f>
        <v/>
      </c>
      <c r="E187" s="15">
        <f>E186*(1+$B$9)^(1/12)</f>
        <v/>
      </c>
      <c r="F187" s="15">
        <f>D187+E187</f>
        <v/>
      </c>
      <c r="G187" s="15">
        <f>$B$6</f>
        <v/>
      </c>
      <c r="H187" s="15">
        <f>$B$7</f>
        <v/>
      </c>
      <c r="I187" s="22">
        <f>IF(AND(F187&gt;=G187,D187&gt;=H187),"FI reached","")</f>
        <v/>
      </c>
      <c r="J187" s="22">
        <f>IF(A187=720,"60-year model limit","")</f>
        <v/>
      </c>
    </row>
    <row r="188">
      <c r="A188" s="23" t="n">
        <v>172</v>
      </c>
      <c r="B188" s="24">
        <f>EDATE(TODAY(),A188)</f>
        <v/>
      </c>
      <c r="C188" s="25">
        <f>Inputs!$B$5+A188/12</f>
        <v/>
      </c>
      <c r="D188" s="15">
        <f>D187*(1+$B$8)^(1/12)+$B$10</f>
        <v/>
      </c>
      <c r="E188" s="15">
        <f>E187*(1+$B$9)^(1/12)</f>
        <v/>
      </c>
      <c r="F188" s="15">
        <f>D188+E188</f>
        <v/>
      </c>
      <c r="G188" s="15">
        <f>$B$6</f>
        <v/>
      </c>
      <c r="H188" s="15">
        <f>$B$7</f>
        <v/>
      </c>
      <c r="I188" s="22">
        <f>IF(AND(F188&gt;=G188,D188&gt;=H188),"FI reached","")</f>
        <v/>
      </c>
      <c r="J188" s="22">
        <f>IF(A188=720,"60-year model limit","")</f>
        <v/>
      </c>
    </row>
    <row r="189">
      <c r="A189" s="23" t="n">
        <v>173</v>
      </c>
      <c r="B189" s="24">
        <f>EDATE(TODAY(),A189)</f>
        <v/>
      </c>
      <c r="C189" s="25">
        <f>Inputs!$B$5+A189/12</f>
        <v/>
      </c>
      <c r="D189" s="15">
        <f>D188*(1+$B$8)^(1/12)+$B$10</f>
        <v/>
      </c>
      <c r="E189" s="15">
        <f>E188*(1+$B$9)^(1/12)</f>
        <v/>
      </c>
      <c r="F189" s="15">
        <f>D189+E189</f>
        <v/>
      </c>
      <c r="G189" s="15">
        <f>$B$6</f>
        <v/>
      </c>
      <c r="H189" s="15">
        <f>$B$7</f>
        <v/>
      </c>
      <c r="I189" s="22">
        <f>IF(AND(F189&gt;=G189,D189&gt;=H189),"FI reached","")</f>
        <v/>
      </c>
      <c r="J189" s="22">
        <f>IF(A189=720,"60-year model limit","")</f>
        <v/>
      </c>
    </row>
    <row r="190">
      <c r="A190" s="23" t="n">
        <v>174</v>
      </c>
      <c r="B190" s="24">
        <f>EDATE(TODAY(),A190)</f>
        <v/>
      </c>
      <c r="C190" s="25">
        <f>Inputs!$B$5+A190/12</f>
        <v/>
      </c>
      <c r="D190" s="15">
        <f>D189*(1+$B$8)^(1/12)+$B$10</f>
        <v/>
      </c>
      <c r="E190" s="15">
        <f>E189*(1+$B$9)^(1/12)</f>
        <v/>
      </c>
      <c r="F190" s="15">
        <f>D190+E190</f>
        <v/>
      </c>
      <c r="G190" s="15">
        <f>$B$6</f>
        <v/>
      </c>
      <c r="H190" s="15">
        <f>$B$7</f>
        <v/>
      </c>
      <c r="I190" s="22">
        <f>IF(AND(F190&gt;=G190,D190&gt;=H190),"FI reached","")</f>
        <v/>
      </c>
      <c r="J190" s="22">
        <f>IF(A190=720,"60-year model limit","")</f>
        <v/>
      </c>
    </row>
    <row r="191">
      <c r="A191" s="23" t="n">
        <v>175</v>
      </c>
      <c r="B191" s="24">
        <f>EDATE(TODAY(),A191)</f>
        <v/>
      </c>
      <c r="C191" s="25">
        <f>Inputs!$B$5+A191/12</f>
        <v/>
      </c>
      <c r="D191" s="15">
        <f>D190*(1+$B$8)^(1/12)+$B$10</f>
        <v/>
      </c>
      <c r="E191" s="15">
        <f>E190*(1+$B$9)^(1/12)</f>
        <v/>
      </c>
      <c r="F191" s="15">
        <f>D191+E191</f>
        <v/>
      </c>
      <c r="G191" s="15">
        <f>$B$6</f>
        <v/>
      </c>
      <c r="H191" s="15">
        <f>$B$7</f>
        <v/>
      </c>
      <c r="I191" s="22">
        <f>IF(AND(F191&gt;=G191,D191&gt;=H191),"FI reached","")</f>
        <v/>
      </c>
      <c r="J191" s="22">
        <f>IF(A191=720,"60-year model limit","")</f>
        <v/>
      </c>
    </row>
    <row r="192">
      <c r="A192" s="23" t="n">
        <v>176</v>
      </c>
      <c r="B192" s="24">
        <f>EDATE(TODAY(),A192)</f>
        <v/>
      </c>
      <c r="C192" s="25">
        <f>Inputs!$B$5+A192/12</f>
        <v/>
      </c>
      <c r="D192" s="15">
        <f>D191*(1+$B$8)^(1/12)+$B$10</f>
        <v/>
      </c>
      <c r="E192" s="15">
        <f>E191*(1+$B$9)^(1/12)</f>
        <v/>
      </c>
      <c r="F192" s="15">
        <f>D192+E192</f>
        <v/>
      </c>
      <c r="G192" s="15">
        <f>$B$6</f>
        <v/>
      </c>
      <c r="H192" s="15">
        <f>$B$7</f>
        <v/>
      </c>
      <c r="I192" s="22">
        <f>IF(AND(F192&gt;=G192,D192&gt;=H192),"FI reached","")</f>
        <v/>
      </c>
      <c r="J192" s="22">
        <f>IF(A192=720,"60-year model limit","")</f>
        <v/>
      </c>
    </row>
    <row r="193">
      <c r="A193" s="23" t="n">
        <v>177</v>
      </c>
      <c r="B193" s="24">
        <f>EDATE(TODAY(),A193)</f>
        <v/>
      </c>
      <c r="C193" s="25">
        <f>Inputs!$B$5+A193/12</f>
        <v/>
      </c>
      <c r="D193" s="15">
        <f>D192*(1+$B$8)^(1/12)+$B$10</f>
        <v/>
      </c>
      <c r="E193" s="15">
        <f>E192*(1+$B$9)^(1/12)</f>
        <v/>
      </c>
      <c r="F193" s="15">
        <f>D193+E193</f>
        <v/>
      </c>
      <c r="G193" s="15">
        <f>$B$6</f>
        <v/>
      </c>
      <c r="H193" s="15">
        <f>$B$7</f>
        <v/>
      </c>
      <c r="I193" s="22">
        <f>IF(AND(F193&gt;=G193,D193&gt;=H193),"FI reached","")</f>
        <v/>
      </c>
      <c r="J193" s="22">
        <f>IF(A193=720,"60-year model limit","")</f>
        <v/>
      </c>
    </row>
    <row r="194">
      <c r="A194" s="23" t="n">
        <v>178</v>
      </c>
      <c r="B194" s="24">
        <f>EDATE(TODAY(),A194)</f>
        <v/>
      </c>
      <c r="C194" s="25">
        <f>Inputs!$B$5+A194/12</f>
        <v/>
      </c>
      <c r="D194" s="15">
        <f>D193*(1+$B$8)^(1/12)+$B$10</f>
        <v/>
      </c>
      <c r="E194" s="15">
        <f>E193*(1+$B$9)^(1/12)</f>
        <v/>
      </c>
      <c r="F194" s="15">
        <f>D194+E194</f>
        <v/>
      </c>
      <c r="G194" s="15">
        <f>$B$6</f>
        <v/>
      </c>
      <c r="H194" s="15">
        <f>$B$7</f>
        <v/>
      </c>
      <c r="I194" s="22">
        <f>IF(AND(F194&gt;=G194,D194&gt;=H194),"FI reached","")</f>
        <v/>
      </c>
      <c r="J194" s="22">
        <f>IF(A194=720,"60-year model limit","")</f>
        <v/>
      </c>
    </row>
    <row r="195">
      <c r="A195" s="23" t="n">
        <v>179</v>
      </c>
      <c r="B195" s="24">
        <f>EDATE(TODAY(),A195)</f>
        <v/>
      </c>
      <c r="C195" s="25">
        <f>Inputs!$B$5+A195/12</f>
        <v/>
      </c>
      <c r="D195" s="15">
        <f>D194*(1+$B$8)^(1/12)+$B$10</f>
        <v/>
      </c>
      <c r="E195" s="15">
        <f>E194*(1+$B$9)^(1/12)</f>
        <v/>
      </c>
      <c r="F195" s="15">
        <f>D195+E195</f>
        <v/>
      </c>
      <c r="G195" s="15">
        <f>$B$6</f>
        <v/>
      </c>
      <c r="H195" s="15">
        <f>$B$7</f>
        <v/>
      </c>
      <c r="I195" s="22">
        <f>IF(AND(F195&gt;=G195,D195&gt;=H195),"FI reached","")</f>
        <v/>
      </c>
      <c r="J195" s="22">
        <f>IF(A195=720,"60-year model limit","")</f>
        <v/>
      </c>
    </row>
    <row r="196">
      <c r="A196" s="23" t="n">
        <v>180</v>
      </c>
      <c r="B196" s="24">
        <f>EDATE(TODAY(),A196)</f>
        <v/>
      </c>
      <c r="C196" s="25">
        <f>Inputs!$B$5+A196/12</f>
        <v/>
      </c>
      <c r="D196" s="15">
        <f>D195*(1+$B$8)^(1/12)+$B$10</f>
        <v/>
      </c>
      <c r="E196" s="15">
        <f>E195*(1+$B$9)^(1/12)</f>
        <v/>
      </c>
      <c r="F196" s="15">
        <f>D196+E196</f>
        <v/>
      </c>
      <c r="G196" s="15">
        <f>$B$6</f>
        <v/>
      </c>
      <c r="H196" s="15">
        <f>$B$7</f>
        <v/>
      </c>
      <c r="I196" s="22">
        <f>IF(AND(F196&gt;=G196,D196&gt;=H196),"FI reached","")</f>
        <v/>
      </c>
      <c r="J196" s="22">
        <f>IF(A196=720,"60-year model limit","")</f>
        <v/>
      </c>
    </row>
    <row r="197">
      <c r="A197" s="23" t="n">
        <v>181</v>
      </c>
      <c r="B197" s="24">
        <f>EDATE(TODAY(),A197)</f>
        <v/>
      </c>
      <c r="C197" s="25">
        <f>Inputs!$B$5+A197/12</f>
        <v/>
      </c>
      <c r="D197" s="15">
        <f>D196*(1+$B$8)^(1/12)+$B$10</f>
        <v/>
      </c>
      <c r="E197" s="15">
        <f>E196*(1+$B$9)^(1/12)</f>
        <v/>
      </c>
      <c r="F197" s="15">
        <f>D197+E197</f>
        <v/>
      </c>
      <c r="G197" s="15">
        <f>$B$6</f>
        <v/>
      </c>
      <c r="H197" s="15">
        <f>$B$7</f>
        <v/>
      </c>
      <c r="I197" s="22">
        <f>IF(AND(F197&gt;=G197,D197&gt;=H197),"FI reached","")</f>
        <v/>
      </c>
      <c r="J197" s="22">
        <f>IF(A197=720,"60-year model limit","")</f>
        <v/>
      </c>
    </row>
    <row r="198">
      <c r="A198" s="23" t="n">
        <v>182</v>
      </c>
      <c r="B198" s="24">
        <f>EDATE(TODAY(),A198)</f>
        <v/>
      </c>
      <c r="C198" s="25">
        <f>Inputs!$B$5+A198/12</f>
        <v/>
      </c>
      <c r="D198" s="15">
        <f>D197*(1+$B$8)^(1/12)+$B$10</f>
        <v/>
      </c>
      <c r="E198" s="15">
        <f>E197*(1+$B$9)^(1/12)</f>
        <v/>
      </c>
      <c r="F198" s="15">
        <f>D198+E198</f>
        <v/>
      </c>
      <c r="G198" s="15">
        <f>$B$6</f>
        <v/>
      </c>
      <c r="H198" s="15">
        <f>$B$7</f>
        <v/>
      </c>
      <c r="I198" s="22">
        <f>IF(AND(F198&gt;=G198,D198&gt;=H198),"FI reached","")</f>
        <v/>
      </c>
      <c r="J198" s="22">
        <f>IF(A198=720,"60-year model limit","")</f>
        <v/>
      </c>
    </row>
    <row r="199">
      <c r="A199" s="23" t="n">
        <v>183</v>
      </c>
      <c r="B199" s="24">
        <f>EDATE(TODAY(),A199)</f>
        <v/>
      </c>
      <c r="C199" s="25">
        <f>Inputs!$B$5+A199/12</f>
        <v/>
      </c>
      <c r="D199" s="15">
        <f>D198*(1+$B$8)^(1/12)+$B$10</f>
        <v/>
      </c>
      <c r="E199" s="15">
        <f>E198*(1+$B$9)^(1/12)</f>
        <v/>
      </c>
      <c r="F199" s="15">
        <f>D199+E199</f>
        <v/>
      </c>
      <c r="G199" s="15">
        <f>$B$6</f>
        <v/>
      </c>
      <c r="H199" s="15">
        <f>$B$7</f>
        <v/>
      </c>
      <c r="I199" s="22">
        <f>IF(AND(F199&gt;=G199,D199&gt;=H199),"FI reached","")</f>
        <v/>
      </c>
      <c r="J199" s="22">
        <f>IF(A199=720,"60-year model limit","")</f>
        <v/>
      </c>
    </row>
    <row r="200">
      <c r="A200" s="23" t="n">
        <v>184</v>
      </c>
      <c r="B200" s="24">
        <f>EDATE(TODAY(),A200)</f>
        <v/>
      </c>
      <c r="C200" s="25">
        <f>Inputs!$B$5+A200/12</f>
        <v/>
      </c>
      <c r="D200" s="15">
        <f>D199*(1+$B$8)^(1/12)+$B$10</f>
        <v/>
      </c>
      <c r="E200" s="15">
        <f>E199*(1+$B$9)^(1/12)</f>
        <v/>
      </c>
      <c r="F200" s="15">
        <f>D200+E200</f>
        <v/>
      </c>
      <c r="G200" s="15">
        <f>$B$6</f>
        <v/>
      </c>
      <c r="H200" s="15">
        <f>$B$7</f>
        <v/>
      </c>
      <c r="I200" s="22">
        <f>IF(AND(F200&gt;=G200,D200&gt;=H200),"FI reached","")</f>
        <v/>
      </c>
      <c r="J200" s="22">
        <f>IF(A200=720,"60-year model limit","")</f>
        <v/>
      </c>
    </row>
    <row r="201">
      <c r="A201" s="23" t="n">
        <v>185</v>
      </c>
      <c r="B201" s="24">
        <f>EDATE(TODAY(),A201)</f>
        <v/>
      </c>
      <c r="C201" s="25">
        <f>Inputs!$B$5+A201/12</f>
        <v/>
      </c>
      <c r="D201" s="15">
        <f>D200*(1+$B$8)^(1/12)+$B$10</f>
        <v/>
      </c>
      <c r="E201" s="15">
        <f>E200*(1+$B$9)^(1/12)</f>
        <v/>
      </c>
      <c r="F201" s="15">
        <f>D201+E201</f>
        <v/>
      </c>
      <c r="G201" s="15">
        <f>$B$6</f>
        <v/>
      </c>
      <c r="H201" s="15">
        <f>$B$7</f>
        <v/>
      </c>
      <c r="I201" s="22">
        <f>IF(AND(F201&gt;=G201,D201&gt;=H201),"FI reached","")</f>
        <v/>
      </c>
      <c r="J201" s="22">
        <f>IF(A201=720,"60-year model limit","")</f>
        <v/>
      </c>
    </row>
    <row r="202">
      <c r="A202" s="23" t="n">
        <v>186</v>
      </c>
      <c r="B202" s="24">
        <f>EDATE(TODAY(),A202)</f>
        <v/>
      </c>
      <c r="C202" s="25">
        <f>Inputs!$B$5+A202/12</f>
        <v/>
      </c>
      <c r="D202" s="15">
        <f>D201*(1+$B$8)^(1/12)+$B$10</f>
        <v/>
      </c>
      <c r="E202" s="15">
        <f>E201*(1+$B$9)^(1/12)</f>
        <v/>
      </c>
      <c r="F202" s="15">
        <f>D202+E202</f>
        <v/>
      </c>
      <c r="G202" s="15">
        <f>$B$6</f>
        <v/>
      </c>
      <c r="H202" s="15">
        <f>$B$7</f>
        <v/>
      </c>
      <c r="I202" s="22">
        <f>IF(AND(F202&gt;=G202,D202&gt;=H202),"FI reached","")</f>
        <v/>
      </c>
      <c r="J202" s="22">
        <f>IF(A202=720,"60-year model limit","")</f>
        <v/>
      </c>
    </row>
    <row r="203">
      <c r="A203" s="23" t="n">
        <v>187</v>
      </c>
      <c r="B203" s="24">
        <f>EDATE(TODAY(),A203)</f>
        <v/>
      </c>
      <c r="C203" s="25">
        <f>Inputs!$B$5+A203/12</f>
        <v/>
      </c>
      <c r="D203" s="15">
        <f>D202*(1+$B$8)^(1/12)+$B$10</f>
        <v/>
      </c>
      <c r="E203" s="15">
        <f>E202*(1+$B$9)^(1/12)</f>
        <v/>
      </c>
      <c r="F203" s="15">
        <f>D203+E203</f>
        <v/>
      </c>
      <c r="G203" s="15">
        <f>$B$6</f>
        <v/>
      </c>
      <c r="H203" s="15">
        <f>$B$7</f>
        <v/>
      </c>
      <c r="I203" s="22">
        <f>IF(AND(F203&gt;=G203,D203&gt;=H203),"FI reached","")</f>
        <v/>
      </c>
      <c r="J203" s="22">
        <f>IF(A203=720,"60-year model limit","")</f>
        <v/>
      </c>
    </row>
    <row r="204">
      <c r="A204" s="23" t="n">
        <v>188</v>
      </c>
      <c r="B204" s="24">
        <f>EDATE(TODAY(),A204)</f>
        <v/>
      </c>
      <c r="C204" s="25">
        <f>Inputs!$B$5+A204/12</f>
        <v/>
      </c>
      <c r="D204" s="15">
        <f>D203*(1+$B$8)^(1/12)+$B$10</f>
        <v/>
      </c>
      <c r="E204" s="15">
        <f>E203*(1+$B$9)^(1/12)</f>
        <v/>
      </c>
      <c r="F204" s="15">
        <f>D204+E204</f>
        <v/>
      </c>
      <c r="G204" s="15">
        <f>$B$6</f>
        <v/>
      </c>
      <c r="H204" s="15">
        <f>$B$7</f>
        <v/>
      </c>
      <c r="I204" s="22">
        <f>IF(AND(F204&gt;=G204,D204&gt;=H204),"FI reached","")</f>
        <v/>
      </c>
      <c r="J204" s="22">
        <f>IF(A204=720,"60-year model limit","")</f>
        <v/>
      </c>
    </row>
    <row r="205">
      <c r="A205" s="23" t="n">
        <v>189</v>
      </c>
      <c r="B205" s="24">
        <f>EDATE(TODAY(),A205)</f>
        <v/>
      </c>
      <c r="C205" s="25">
        <f>Inputs!$B$5+A205/12</f>
        <v/>
      </c>
      <c r="D205" s="15">
        <f>D204*(1+$B$8)^(1/12)+$B$10</f>
        <v/>
      </c>
      <c r="E205" s="15">
        <f>E204*(1+$B$9)^(1/12)</f>
        <v/>
      </c>
      <c r="F205" s="15">
        <f>D205+E205</f>
        <v/>
      </c>
      <c r="G205" s="15">
        <f>$B$6</f>
        <v/>
      </c>
      <c r="H205" s="15">
        <f>$B$7</f>
        <v/>
      </c>
      <c r="I205" s="22">
        <f>IF(AND(F205&gt;=G205,D205&gt;=H205),"FI reached","")</f>
        <v/>
      </c>
      <c r="J205" s="22">
        <f>IF(A205=720,"60-year model limit","")</f>
        <v/>
      </c>
    </row>
    <row r="206">
      <c r="A206" s="23" t="n">
        <v>190</v>
      </c>
      <c r="B206" s="24">
        <f>EDATE(TODAY(),A206)</f>
        <v/>
      </c>
      <c r="C206" s="25">
        <f>Inputs!$B$5+A206/12</f>
        <v/>
      </c>
      <c r="D206" s="15">
        <f>D205*(1+$B$8)^(1/12)+$B$10</f>
        <v/>
      </c>
      <c r="E206" s="15">
        <f>E205*(1+$B$9)^(1/12)</f>
        <v/>
      </c>
      <c r="F206" s="15">
        <f>D206+E206</f>
        <v/>
      </c>
      <c r="G206" s="15">
        <f>$B$6</f>
        <v/>
      </c>
      <c r="H206" s="15">
        <f>$B$7</f>
        <v/>
      </c>
      <c r="I206" s="22">
        <f>IF(AND(F206&gt;=G206,D206&gt;=H206),"FI reached","")</f>
        <v/>
      </c>
      <c r="J206" s="22">
        <f>IF(A206=720,"60-year model limit","")</f>
        <v/>
      </c>
    </row>
    <row r="207">
      <c r="A207" s="23" t="n">
        <v>191</v>
      </c>
      <c r="B207" s="24">
        <f>EDATE(TODAY(),A207)</f>
        <v/>
      </c>
      <c r="C207" s="25">
        <f>Inputs!$B$5+A207/12</f>
        <v/>
      </c>
      <c r="D207" s="15">
        <f>D206*(1+$B$8)^(1/12)+$B$10</f>
        <v/>
      </c>
      <c r="E207" s="15">
        <f>E206*(1+$B$9)^(1/12)</f>
        <v/>
      </c>
      <c r="F207" s="15">
        <f>D207+E207</f>
        <v/>
      </c>
      <c r="G207" s="15">
        <f>$B$6</f>
        <v/>
      </c>
      <c r="H207" s="15">
        <f>$B$7</f>
        <v/>
      </c>
      <c r="I207" s="22">
        <f>IF(AND(F207&gt;=G207,D207&gt;=H207),"FI reached","")</f>
        <v/>
      </c>
      <c r="J207" s="22">
        <f>IF(A207=720,"60-year model limit","")</f>
        <v/>
      </c>
    </row>
    <row r="208">
      <c r="A208" s="23" t="n">
        <v>192</v>
      </c>
      <c r="B208" s="24">
        <f>EDATE(TODAY(),A208)</f>
        <v/>
      </c>
      <c r="C208" s="25">
        <f>Inputs!$B$5+A208/12</f>
        <v/>
      </c>
      <c r="D208" s="15">
        <f>D207*(1+$B$8)^(1/12)+$B$10</f>
        <v/>
      </c>
      <c r="E208" s="15">
        <f>E207*(1+$B$9)^(1/12)</f>
        <v/>
      </c>
      <c r="F208" s="15">
        <f>D208+E208</f>
        <v/>
      </c>
      <c r="G208" s="15">
        <f>$B$6</f>
        <v/>
      </c>
      <c r="H208" s="15">
        <f>$B$7</f>
        <v/>
      </c>
      <c r="I208" s="22">
        <f>IF(AND(F208&gt;=G208,D208&gt;=H208),"FI reached","")</f>
        <v/>
      </c>
      <c r="J208" s="22">
        <f>IF(A208=720,"60-year model limit","")</f>
        <v/>
      </c>
    </row>
    <row r="209">
      <c r="A209" s="23" t="n">
        <v>193</v>
      </c>
      <c r="B209" s="24">
        <f>EDATE(TODAY(),A209)</f>
        <v/>
      </c>
      <c r="C209" s="25">
        <f>Inputs!$B$5+A209/12</f>
        <v/>
      </c>
      <c r="D209" s="15">
        <f>D208*(1+$B$8)^(1/12)+$B$10</f>
        <v/>
      </c>
      <c r="E209" s="15">
        <f>E208*(1+$B$9)^(1/12)</f>
        <v/>
      </c>
      <c r="F209" s="15">
        <f>D209+E209</f>
        <v/>
      </c>
      <c r="G209" s="15">
        <f>$B$6</f>
        <v/>
      </c>
      <c r="H209" s="15">
        <f>$B$7</f>
        <v/>
      </c>
      <c r="I209" s="22">
        <f>IF(AND(F209&gt;=G209,D209&gt;=H209),"FI reached","")</f>
        <v/>
      </c>
      <c r="J209" s="22">
        <f>IF(A209=720,"60-year model limit","")</f>
        <v/>
      </c>
    </row>
    <row r="210">
      <c r="A210" s="23" t="n">
        <v>194</v>
      </c>
      <c r="B210" s="24">
        <f>EDATE(TODAY(),A210)</f>
        <v/>
      </c>
      <c r="C210" s="25">
        <f>Inputs!$B$5+A210/12</f>
        <v/>
      </c>
      <c r="D210" s="15">
        <f>D209*(1+$B$8)^(1/12)+$B$10</f>
        <v/>
      </c>
      <c r="E210" s="15">
        <f>E209*(1+$B$9)^(1/12)</f>
        <v/>
      </c>
      <c r="F210" s="15">
        <f>D210+E210</f>
        <v/>
      </c>
      <c r="G210" s="15">
        <f>$B$6</f>
        <v/>
      </c>
      <c r="H210" s="15">
        <f>$B$7</f>
        <v/>
      </c>
      <c r="I210" s="22">
        <f>IF(AND(F210&gt;=G210,D210&gt;=H210),"FI reached","")</f>
        <v/>
      </c>
      <c r="J210" s="22">
        <f>IF(A210=720,"60-year model limit","")</f>
        <v/>
      </c>
    </row>
    <row r="211">
      <c r="A211" s="23" t="n">
        <v>195</v>
      </c>
      <c r="B211" s="24">
        <f>EDATE(TODAY(),A211)</f>
        <v/>
      </c>
      <c r="C211" s="25">
        <f>Inputs!$B$5+A211/12</f>
        <v/>
      </c>
      <c r="D211" s="15">
        <f>D210*(1+$B$8)^(1/12)+$B$10</f>
        <v/>
      </c>
      <c r="E211" s="15">
        <f>E210*(1+$B$9)^(1/12)</f>
        <v/>
      </c>
      <c r="F211" s="15">
        <f>D211+E211</f>
        <v/>
      </c>
      <c r="G211" s="15">
        <f>$B$6</f>
        <v/>
      </c>
      <c r="H211" s="15">
        <f>$B$7</f>
        <v/>
      </c>
      <c r="I211" s="22">
        <f>IF(AND(F211&gt;=G211,D211&gt;=H211),"FI reached","")</f>
        <v/>
      </c>
      <c r="J211" s="22">
        <f>IF(A211=720,"60-year model limit","")</f>
        <v/>
      </c>
    </row>
    <row r="212">
      <c r="A212" s="23" t="n">
        <v>196</v>
      </c>
      <c r="B212" s="24">
        <f>EDATE(TODAY(),A212)</f>
        <v/>
      </c>
      <c r="C212" s="25">
        <f>Inputs!$B$5+A212/12</f>
        <v/>
      </c>
      <c r="D212" s="15">
        <f>D211*(1+$B$8)^(1/12)+$B$10</f>
        <v/>
      </c>
      <c r="E212" s="15">
        <f>E211*(1+$B$9)^(1/12)</f>
        <v/>
      </c>
      <c r="F212" s="15">
        <f>D212+E212</f>
        <v/>
      </c>
      <c r="G212" s="15">
        <f>$B$6</f>
        <v/>
      </c>
      <c r="H212" s="15">
        <f>$B$7</f>
        <v/>
      </c>
      <c r="I212" s="22">
        <f>IF(AND(F212&gt;=G212,D212&gt;=H212),"FI reached","")</f>
        <v/>
      </c>
      <c r="J212" s="22">
        <f>IF(A212=720,"60-year model limit","")</f>
        <v/>
      </c>
    </row>
    <row r="213">
      <c r="A213" s="23" t="n">
        <v>197</v>
      </c>
      <c r="B213" s="24">
        <f>EDATE(TODAY(),A213)</f>
        <v/>
      </c>
      <c r="C213" s="25">
        <f>Inputs!$B$5+A213/12</f>
        <v/>
      </c>
      <c r="D213" s="15">
        <f>D212*(1+$B$8)^(1/12)+$B$10</f>
        <v/>
      </c>
      <c r="E213" s="15">
        <f>E212*(1+$B$9)^(1/12)</f>
        <v/>
      </c>
      <c r="F213" s="15">
        <f>D213+E213</f>
        <v/>
      </c>
      <c r="G213" s="15">
        <f>$B$6</f>
        <v/>
      </c>
      <c r="H213" s="15">
        <f>$B$7</f>
        <v/>
      </c>
      <c r="I213" s="22">
        <f>IF(AND(F213&gt;=G213,D213&gt;=H213),"FI reached","")</f>
        <v/>
      </c>
      <c r="J213" s="22">
        <f>IF(A213=720,"60-year model limit","")</f>
        <v/>
      </c>
    </row>
    <row r="214">
      <c r="A214" s="23" t="n">
        <v>198</v>
      </c>
      <c r="B214" s="24">
        <f>EDATE(TODAY(),A214)</f>
        <v/>
      </c>
      <c r="C214" s="25">
        <f>Inputs!$B$5+A214/12</f>
        <v/>
      </c>
      <c r="D214" s="15">
        <f>D213*(1+$B$8)^(1/12)+$B$10</f>
        <v/>
      </c>
      <c r="E214" s="15">
        <f>E213*(1+$B$9)^(1/12)</f>
        <v/>
      </c>
      <c r="F214" s="15">
        <f>D214+E214</f>
        <v/>
      </c>
      <c r="G214" s="15">
        <f>$B$6</f>
        <v/>
      </c>
      <c r="H214" s="15">
        <f>$B$7</f>
        <v/>
      </c>
      <c r="I214" s="22">
        <f>IF(AND(F214&gt;=G214,D214&gt;=H214),"FI reached","")</f>
        <v/>
      </c>
      <c r="J214" s="22">
        <f>IF(A214=720,"60-year model limit","")</f>
        <v/>
      </c>
    </row>
    <row r="215">
      <c r="A215" s="23" t="n">
        <v>199</v>
      </c>
      <c r="B215" s="24">
        <f>EDATE(TODAY(),A215)</f>
        <v/>
      </c>
      <c r="C215" s="25">
        <f>Inputs!$B$5+A215/12</f>
        <v/>
      </c>
      <c r="D215" s="15">
        <f>D214*(1+$B$8)^(1/12)+$B$10</f>
        <v/>
      </c>
      <c r="E215" s="15">
        <f>E214*(1+$B$9)^(1/12)</f>
        <v/>
      </c>
      <c r="F215" s="15">
        <f>D215+E215</f>
        <v/>
      </c>
      <c r="G215" s="15">
        <f>$B$6</f>
        <v/>
      </c>
      <c r="H215" s="15">
        <f>$B$7</f>
        <v/>
      </c>
      <c r="I215" s="22">
        <f>IF(AND(F215&gt;=G215,D215&gt;=H215),"FI reached","")</f>
        <v/>
      </c>
      <c r="J215" s="22">
        <f>IF(A215=720,"60-year model limit","")</f>
        <v/>
      </c>
    </row>
    <row r="216">
      <c r="A216" s="23" t="n">
        <v>200</v>
      </c>
      <c r="B216" s="24">
        <f>EDATE(TODAY(),A216)</f>
        <v/>
      </c>
      <c r="C216" s="25">
        <f>Inputs!$B$5+A216/12</f>
        <v/>
      </c>
      <c r="D216" s="15">
        <f>D215*(1+$B$8)^(1/12)+$B$10</f>
        <v/>
      </c>
      <c r="E216" s="15">
        <f>E215*(1+$B$9)^(1/12)</f>
        <v/>
      </c>
      <c r="F216" s="15">
        <f>D216+E216</f>
        <v/>
      </c>
      <c r="G216" s="15">
        <f>$B$6</f>
        <v/>
      </c>
      <c r="H216" s="15">
        <f>$B$7</f>
        <v/>
      </c>
      <c r="I216" s="22">
        <f>IF(AND(F216&gt;=G216,D216&gt;=H216),"FI reached","")</f>
        <v/>
      </c>
      <c r="J216" s="22">
        <f>IF(A216=720,"60-year model limit","")</f>
        <v/>
      </c>
    </row>
    <row r="217">
      <c r="A217" s="23" t="n">
        <v>201</v>
      </c>
      <c r="B217" s="24">
        <f>EDATE(TODAY(),A217)</f>
        <v/>
      </c>
      <c r="C217" s="25">
        <f>Inputs!$B$5+A217/12</f>
        <v/>
      </c>
      <c r="D217" s="15">
        <f>D216*(1+$B$8)^(1/12)+$B$10</f>
        <v/>
      </c>
      <c r="E217" s="15">
        <f>E216*(1+$B$9)^(1/12)</f>
        <v/>
      </c>
      <c r="F217" s="15">
        <f>D217+E217</f>
        <v/>
      </c>
      <c r="G217" s="15">
        <f>$B$6</f>
        <v/>
      </c>
      <c r="H217" s="15">
        <f>$B$7</f>
        <v/>
      </c>
      <c r="I217" s="22">
        <f>IF(AND(F217&gt;=G217,D217&gt;=H217),"FI reached","")</f>
        <v/>
      </c>
      <c r="J217" s="22">
        <f>IF(A217=720,"60-year model limit","")</f>
        <v/>
      </c>
    </row>
    <row r="218">
      <c r="A218" s="23" t="n">
        <v>202</v>
      </c>
      <c r="B218" s="24">
        <f>EDATE(TODAY(),A218)</f>
        <v/>
      </c>
      <c r="C218" s="25">
        <f>Inputs!$B$5+A218/12</f>
        <v/>
      </c>
      <c r="D218" s="15">
        <f>D217*(1+$B$8)^(1/12)+$B$10</f>
        <v/>
      </c>
      <c r="E218" s="15">
        <f>E217*(1+$B$9)^(1/12)</f>
        <v/>
      </c>
      <c r="F218" s="15">
        <f>D218+E218</f>
        <v/>
      </c>
      <c r="G218" s="15">
        <f>$B$6</f>
        <v/>
      </c>
      <c r="H218" s="15">
        <f>$B$7</f>
        <v/>
      </c>
      <c r="I218" s="22">
        <f>IF(AND(F218&gt;=G218,D218&gt;=H218),"FI reached","")</f>
        <v/>
      </c>
      <c r="J218" s="22">
        <f>IF(A218=720,"60-year model limit","")</f>
        <v/>
      </c>
    </row>
    <row r="219">
      <c r="A219" s="23" t="n">
        <v>203</v>
      </c>
      <c r="B219" s="24">
        <f>EDATE(TODAY(),A219)</f>
        <v/>
      </c>
      <c r="C219" s="25">
        <f>Inputs!$B$5+A219/12</f>
        <v/>
      </c>
      <c r="D219" s="15">
        <f>D218*(1+$B$8)^(1/12)+$B$10</f>
        <v/>
      </c>
      <c r="E219" s="15">
        <f>E218*(1+$B$9)^(1/12)</f>
        <v/>
      </c>
      <c r="F219" s="15">
        <f>D219+E219</f>
        <v/>
      </c>
      <c r="G219" s="15">
        <f>$B$6</f>
        <v/>
      </c>
      <c r="H219" s="15">
        <f>$B$7</f>
        <v/>
      </c>
      <c r="I219" s="22">
        <f>IF(AND(F219&gt;=G219,D219&gt;=H219),"FI reached","")</f>
        <v/>
      </c>
      <c r="J219" s="22">
        <f>IF(A219=720,"60-year model limit","")</f>
        <v/>
      </c>
    </row>
    <row r="220">
      <c r="A220" s="23" t="n">
        <v>204</v>
      </c>
      <c r="B220" s="24">
        <f>EDATE(TODAY(),A220)</f>
        <v/>
      </c>
      <c r="C220" s="25">
        <f>Inputs!$B$5+A220/12</f>
        <v/>
      </c>
      <c r="D220" s="15">
        <f>D219*(1+$B$8)^(1/12)+$B$10</f>
        <v/>
      </c>
      <c r="E220" s="15">
        <f>E219*(1+$B$9)^(1/12)</f>
        <v/>
      </c>
      <c r="F220" s="15">
        <f>D220+E220</f>
        <v/>
      </c>
      <c r="G220" s="15">
        <f>$B$6</f>
        <v/>
      </c>
      <c r="H220" s="15">
        <f>$B$7</f>
        <v/>
      </c>
      <c r="I220" s="22">
        <f>IF(AND(F220&gt;=G220,D220&gt;=H220),"FI reached","")</f>
        <v/>
      </c>
      <c r="J220" s="22">
        <f>IF(A220=720,"60-year model limit","")</f>
        <v/>
      </c>
    </row>
    <row r="221">
      <c r="A221" s="23" t="n">
        <v>205</v>
      </c>
      <c r="B221" s="24">
        <f>EDATE(TODAY(),A221)</f>
        <v/>
      </c>
      <c r="C221" s="25">
        <f>Inputs!$B$5+A221/12</f>
        <v/>
      </c>
      <c r="D221" s="15">
        <f>D220*(1+$B$8)^(1/12)+$B$10</f>
        <v/>
      </c>
      <c r="E221" s="15">
        <f>E220*(1+$B$9)^(1/12)</f>
        <v/>
      </c>
      <c r="F221" s="15">
        <f>D221+E221</f>
        <v/>
      </c>
      <c r="G221" s="15">
        <f>$B$6</f>
        <v/>
      </c>
      <c r="H221" s="15">
        <f>$B$7</f>
        <v/>
      </c>
      <c r="I221" s="22">
        <f>IF(AND(F221&gt;=G221,D221&gt;=H221),"FI reached","")</f>
        <v/>
      </c>
      <c r="J221" s="22">
        <f>IF(A221=720,"60-year model limit","")</f>
        <v/>
      </c>
    </row>
    <row r="222">
      <c r="A222" s="23" t="n">
        <v>206</v>
      </c>
      <c r="B222" s="24">
        <f>EDATE(TODAY(),A222)</f>
        <v/>
      </c>
      <c r="C222" s="25">
        <f>Inputs!$B$5+A222/12</f>
        <v/>
      </c>
      <c r="D222" s="15">
        <f>D221*(1+$B$8)^(1/12)+$B$10</f>
        <v/>
      </c>
      <c r="E222" s="15">
        <f>E221*(1+$B$9)^(1/12)</f>
        <v/>
      </c>
      <c r="F222" s="15">
        <f>D222+E222</f>
        <v/>
      </c>
      <c r="G222" s="15">
        <f>$B$6</f>
        <v/>
      </c>
      <c r="H222" s="15">
        <f>$B$7</f>
        <v/>
      </c>
      <c r="I222" s="22">
        <f>IF(AND(F222&gt;=G222,D222&gt;=H222),"FI reached","")</f>
        <v/>
      </c>
      <c r="J222" s="22">
        <f>IF(A222=720,"60-year model limit","")</f>
        <v/>
      </c>
    </row>
    <row r="223">
      <c r="A223" s="23" t="n">
        <v>207</v>
      </c>
      <c r="B223" s="24">
        <f>EDATE(TODAY(),A223)</f>
        <v/>
      </c>
      <c r="C223" s="25">
        <f>Inputs!$B$5+A223/12</f>
        <v/>
      </c>
      <c r="D223" s="15">
        <f>D222*(1+$B$8)^(1/12)+$B$10</f>
        <v/>
      </c>
      <c r="E223" s="15">
        <f>E222*(1+$B$9)^(1/12)</f>
        <v/>
      </c>
      <c r="F223" s="15">
        <f>D223+E223</f>
        <v/>
      </c>
      <c r="G223" s="15">
        <f>$B$6</f>
        <v/>
      </c>
      <c r="H223" s="15">
        <f>$B$7</f>
        <v/>
      </c>
      <c r="I223" s="22">
        <f>IF(AND(F223&gt;=G223,D223&gt;=H223),"FI reached","")</f>
        <v/>
      </c>
      <c r="J223" s="22">
        <f>IF(A223=720,"60-year model limit","")</f>
        <v/>
      </c>
    </row>
    <row r="224">
      <c r="A224" s="23" t="n">
        <v>208</v>
      </c>
      <c r="B224" s="24">
        <f>EDATE(TODAY(),A224)</f>
        <v/>
      </c>
      <c r="C224" s="25">
        <f>Inputs!$B$5+A224/12</f>
        <v/>
      </c>
      <c r="D224" s="15">
        <f>D223*(1+$B$8)^(1/12)+$B$10</f>
        <v/>
      </c>
      <c r="E224" s="15">
        <f>E223*(1+$B$9)^(1/12)</f>
        <v/>
      </c>
      <c r="F224" s="15">
        <f>D224+E224</f>
        <v/>
      </c>
      <c r="G224" s="15">
        <f>$B$6</f>
        <v/>
      </c>
      <c r="H224" s="15">
        <f>$B$7</f>
        <v/>
      </c>
      <c r="I224" s="22">
        <f>IF(AND(F224&gt;=G224,D224&gt;=H224),"FI reached","")</f>
        <v/>
      </c>
      <c r="J224" s="22">
        <f>IF(A224=720,"60-year model limit","")</f>
        <v/>
      </c>
    </row>
    <row r="225">
      <c r="A225" s="23" t="n">
        <v>209</v>
      </c>
      <c r="B225" s="24">
        <f>EDATE(TODAY(),A225)</f>
        <v/>
      </c>
      <c r="C225" s="25">
        <f>Inputs!$B$5+A225/12</f>
        <v/>
      </c>
      <c r="D225" s="15">
        <f>D224*(1+$B$8)^(1/12)+$B$10</f>
        <v/>
      </c>
      <c r="E225" s="15">
        <f>E224*(1+$B$9)^(1/12)</f>
        <v/>
      </c>
      <c r="F225" s="15">
        <f>D225+E225</f>
        <v/>
      </c>
      <c r="G225" s="15">
        <f>$B$6</f>
        <v/>
      </c>
      <c r="H225" s="15">
        <f>$B$7</f>
        <v/>
      </c>
      <c r="I225" s="22">
        <f>IF(AND(F225&gt;=G225,D225&gt;=H225),"FI reached","")</f>
        <v/>
      </c>
      <c r="J225" s="22">
        <f>IF(A225=720,"60-year model limit","")</f>
        <v/>
      </c>
    </row>
    <row r="226">
      <c r="A226" s="23" t="n">
        <v>210</v>
      </c>
      <c r="B226" s="24">
        <f>EDATE(TODAY(),A226)</f>
        <v/>
      </c>
      <c r="C226" s="25">
        <f>Inputs!$B$5+A226/12</f>
        <v/>
      </c>
      <c r="D226" s="15">
        <f>D225*(1+$B$8)^(1/12)+$B$10</f>
        <v/>
      </c>
      <c r="E226" s="15">
        <f>E225*(1+$B$9)^(1/12)</f>
        <v/>
      </c>
      <c r="F226" s="15">
        <f>D226+E226</f>
        <v/>
      </c>
      <c r="G226" s="15">
        <f>$B$6</f>
        <v/>
      </c>
      <c r="H226" s="15">
        <f>$B$7</f>
        <v/>
      </c>
      <c r="I226" s="22">
        <f>IF(AND(F226&gt;=G226,D226&gt;=H226),"FI reached","")</f>
        <v/>
      </c>
      <c r="J226" s="22">
        <f>IF(A226=720,"60-year model limit","")</f>
        <v/>
      </c>
    </row>
    <row r="227">
      <c r="A227" s="23" t="n">
        <v>211</v>
      </c>
      <c r="B227" s="24">
        <f>EDATE(TODAY(),A227)</f>
        <v/>
      </c>
      <c r="C227" s="25">
        <f>Inputs!$B$5+A227/12</f>
        <v/>
      </c>
      <c r="D227" s="15">
        <f>D226*(1+$B$8)^(1/12)+$B$10</f>
        <v/>
      </c>
      <c r="E227" s="15">
        <f>E226*(1+$B$9)^(1/12)</f>
        <v/>
      </c>
      <c r="F227" s="15">
        <f>D227+E227</f>
        <v/>
      </c>
      <c r="G227" s="15">
        <f>$B$6</f>
        <v/>
      </c>
      <c r="H227" s="15">
        <f>$B$7</f>
        <v/>
      </c>
      <c r="I227" s="22">
        <f>IF(AND(F227&gt;=G227,D227&gt;=H227),"FI reached","")</f>
        <v/>
      </c>
      <c r="J227" s="22">
        <f>IF(A227=720,"60-year model limit","")</f>
        <v/>
      </c>
    </row>
    <row r="228">
      <c r="A228" s="23" t="n">
        <v>212</v>
      </c>
      <c r="B228" s="24">
        <f>EDATE(TODAY(),A228)</f>
        <v/>
      </c>
      <c r="C228" s="25">
        <f>Inputs!$B$5+A228/12</f>
        <v/>
      </c>
      <c r="D228" s="15">
        <f>D227*(1+$B$8)^(1/12)+$B$10</f>
        <v/>
      </c>
      <c r="E228" s="15">
        <f>E227*(1+$B$9)^(1/12)</f>
        <v/>
      </c>
      <c r="F228" s="15">
        <f>D228+E228</f>
        <v/>
      </c>
      <c r="G228" s="15">
        <f>$B$6</f>
        <v/>
      </c>
      <c r="H228" s="15">
        <f>$B$7</f>
        <v/>
      </c>
      <c r="I228" s="22">
        <f>IF(AND(F228&gt;=G228,D228&gt;=H228),"FI reached","")</f>
        <v/>
      </c>
      <c r="J228" s="22">
        <f>IF(A228=720,"60-year model limit","")</f>
        <v/>
      </c>
    </row>
    <row r="229">
      <c r="A229" s="23" t="n">
        <v>213</v>
      </c>
      <c r="B229" s="24">
        <f>EDATE(TODAY(),A229)</f>
        <v/>
      </c>
      <c r="C229" s="25">
        <f>Inputs!$B$5+A229/12</f>
        <v/>
      </c>
      <c r="D229" s="15">
        <f>D228*(1+$B$8)^(1/12)+$B$10</f>
        <v/>
      </c>
      <c r="E229" s="15">
        <f>E228*(1+$B$9)^(1/12)</f>
        <v/>
      </c>
      <c r="F229" s="15">
        <f>D229+E229</f>
        <v/>
      </c>
      <c r="G229" s="15">
        <f>$B$6</f>
        <v/>
      </c>
      <c r="H229" s="15">
        <f>$B$7</f>
        <v/>
      </c>
      <c r="I229" s="22">
        <f>IF(AND(F229&gt;=G229,D229&gt;=H229),"FI reached","")</f>
        <v/>
      </c>
      <c r="J229" s="22">
        <f>IF(A229=720,"60-year model limit","")</f>
        <v/>
      </c>
    </row>
    <row r="230">
      <c r="A230" s="23" t="n">
        <v>214</v>
      </c>
      <c r="B230" s="24">
        <f>EDATE(TODAY(),A230)</f>
        <v/>
      </c>
      <c r="C230" s="25">
        <f>Inputs!$B$5+A230/12</f>
        <v/>
      </c>
      <c r="D230" s="15">
        <f>D229*(1+$B$8)^(1/12)+$B$10</f>
        <v/>
      </c>
      <c r="E230" s="15">
        <f>E229*(1+$B$9)^(1/12)</f>
        <v/>
      </c>
      <c r="F230" s="15">
        <f>D230+E230</f>
        <v/>
      </c>
      <c r="G230" s="15">
        <f>$B$6</f>
        <v/>
      </c>
      <c r="H230" s="15">
        <f>$B$7</f>
        <v/>
      </c>
      <c r="I230" s="22">
        <f>IF(AND(F230&gt;=G230,D230&gt;=H230),"FI reached","")</f>
        <v/>
      </c>
      <c r="J230" s="22">
        <f>IF(A230=720,"60-year model limit","")</f>
        <v/>
      </c>
    </row>
    <row r="231">
      <c r="A231" s="23" t="n">
        <v>215</v>
      </c>
      <c r="B231" s="24">
        <f>EDATE(TODAY(),A231)</f>
        <v/>
      </c>
      <c r="C231" s="25">
        <f>Inputs!$B$5+A231/12</f>
        <v/>
      </c>
      <c r="D231" s="15">
        <f>D230*(1+$B$8)^(1/12)+$B$10</f>
        <v/>
      </c>
      <c r="E231" s="15">
        <f>E230*(1+$B$9)^(1/12)</f>
        <v/>
      </c>
      <c r="F231" s="15">
        <f>D231+E231</f>
        <v/>
      </c>
      <c r="G231" s="15">
        <f>$B$6</f>
        <v/>
      </c>
      <c r="H231" s="15">
        <f>$B$7</f>
        <v/>
      </c>
      <c r="I231" s="22">
        <f>IF(AND(F231&gt;=G231,D231&gt;=H231),"FI reached","")</f>
        <v/>
      </c>
      <c r="J231" s="22">
        <f>IF(A231=720,"60-year model limit","")</f>
        <v/>
      </c>
    </row>
    <row r="232">
      <c r="A232" s="23" t="n">
        <v>216</v>
      </c>
      <c r="B232" s="24">
        <f>EDATE(TODAY(),A232)</f>
        <v/>
      </c>
      <c r="C232" s="25">
        <f>Inputs!$B$5+A232/12</f>
        <v/>
      </c>
      <c r="D232" s="15">
        <f>D231*(1+$B$8)^(1/12)+$B$10</f>
        <v/>
      </c>
      <c r="E232" s="15">
        <f>E231*(1+$B$9)^(1/12)</f>
        <v/>
      </c>
      <c r="F232" s="15">
        <f>D232+E232</f>
        <v/>
      </c>
      <c r="G232" s="15">
        <f>$B$6</f>
        <v/>
      </c>
      <c r="H232" s="15">
        <f>$B$7</f>
        <v/>
      </c>
      <c r="I232" s="22">
        <f>IF(AND(F232&gt;=G232,D232&gt;=H232),"FI reached","")</f>
        <v/>
      </c>
      <c r="J232" s="22">
        <f>IF(A232=720,"60-year model limit","")</f>
        <v/>
      </c>
    </row>
    <row r="233">
      <c r="A233" s="23" t="n">
        <v>217</v>
      </c>
      <c r="B233" s="24">
        <f>EDATE(TODAY(),A233)</f>
        <v/>
      </c>
      <c r="C233" s="25">
        <f>Inputs!$B$5+A233/12</f>
        <v/>
      </c>
      <c r="D233" s="15">
        <f>D232*(1+$B$8)^(1/12)+$B$10</f>
        <v/>
      </c>
      <c r="E233" s="15">
        <f>E232*(1+$B$9)^(1/12)</f>
        <v/>
      </c>
      <c r="F233" s="15">
        <f>D233+E233</f>
        <v/>
      </c>
      <c r="G233" s="15">
        <f>$B$6</f>
        <v/>
      </c>
      <c r="H233" s="15">
        <f>$B$7</f>
        <v/>
      </c>
      <c r="I233" s="22">
        <f>IF(AND(F233&gt;=G233,D233&gt;=H233),"FI reached","")</f>
        <v/>
      </c>
      <c r="J233" s="22">
        <f>IF(A233=720,"60-year model limit","")</f>
        <v/>
      </c>
    </row>
    <row r="234">
      <c r="A234" s="23" t="n">
        <v>218</v>
      </c>
      <c r="B234" s="24">
        <f>EDATE(TODAY(),A234)</f>
        <v/>
      </c>
      <c r="C234" s="25">
        <f>Inputs!$B$5+A234/12</f>
        <v/>
      </c>
      <c r="D234" s="15">
        <f>D233*(1+$B$8)^(1/12)+$B$10</f>
        <v/>
      </c>
      <c r="E234" s="15">
        <f>E233*(1+$B$9)^(1/12)</f>
        <v/>
      </c>
      <c r="F234" s="15">
        <f>D234+E234</f>
        <v/>
      </c>
      <c r="G234" s="15">
        <f>$B$6</f>
        <v/>
      </c>
      <c r="H234" s="15">
        <f>$B$7</f>
        <v/>
      </c>
      <c r="I234" s="22">
        <f>IF(AND(F234&gt;=G234,D234&gt;=H234),"FI reached","")</f>
        <v/>
      </c>
      <c r="J234" s="22">
        <f>IF(A234=720,"60-year model limit","")</f>
        <v/>
      </c>
    </row>
    <row r="235">
      <c r="A235" s="23" t="n">
        <v>219</v>
      </c>
      <c r="B235" s="24">
        <f>EDATE(TODAY(),A235)</f>
        <v/>
      </c>
      <c r="C235" s="25">
        <f>Inputs!$B$5+A235/12</f>
        <v/>
      </c>
      <c r="D235" s="15">
        <f>D234*(1+$B$8)^(1/12)+$B$10</f>
        <v/>
      </c>
      <c r="E235" s="15">
        <f>E234*(1+$B$9)^(1/12)</f>
        <v/>
      </c>
      <c r="F235" s="15">
        <f>D235+E235</f>
        <v/>
      </c>
      <c r="G235" s="15">
        <f>$B$6</f>
        <v/>
      </c>
      <c r="H235" s="15">
        <f>$B$7</f>
        <v/>
      </c>
      <c r="I235" s="22">
        <f>IF(AND(F235&gt;=G235,D235&gt;=H235),"FI reached","")</f>
        <v/>
      </c>
      <c r="J235" s="22">
        <f>IF(A235=720,"60-year model limit","")</f>
        <v/>
      </c>
    </row>
    <row r="236">
      <c r="A236" s="23" t="n">
        <v>220</v>
      </c>
      <c r="B236" s="24">
        <f>EDATE(TODAY(),A236)</f>
        <v/>
      </c>
      <c r="C236" s="25">
        <f>Inputs!$B$5+A236/12</f>
        <v/>
      </c>
      <c r="D236" s="15">
        <f>D235*(1+$B$8)^(1/12)+$B$10</f>
        <v/>
      </c>
      <c r="E236" s="15">
        <f>E235*(1+$B$9)^(1/12)</f>
        <v/>
      </c>
      <c r="F236" s="15">
        <f>D236+E236</f>
        <v/>
      </c>
      <c r="G236" s="15">
        <f>$B$6</f>
        <v/>
      </c>
      <c r="H236" s="15">
        <f>$B$7</f>
        <v/>
      </c>
      <c r="I236" s="22">
        <f>IF(AND(F236&gt;=G236,D236&gt;=H236),"FI reached","")</f>
        <v/>
      </c>
      <c r="J236" s="22">
        <f>IF(A236=720,"60-year model limit","")</f>
        <v/>
      </c>
    </row>
    <row r="237">
      <c r="A237" s="23" t="n">
        <v>221</v>
      </c>
      <c r="B237" s="24">
        <f>EDATE(TODAY(),A237)</f>
        <v/>
      </c>
      <c r="C237" s="25">
        <f>Inputs!$B$5+A237/12</f>
        <v/>
      </c>
      <c r="D237" s="15">
        <f>D236*(1+$B$8)^(1/12)+$B$10</f>
        <v/>
      </c>
      <c r="E237" s="15">
        <f>E236*(1+$B$9)^(1/12)</f>
        <v/>
      </c>
      <c r="F237" s="15">
        <f>D237+E237</f>
        <v/>
      </c>
      <c r="G237" s="15">
        <f>$B$6</f>
        <v/>
      </c>
      <c r="H237" s="15">
        <f>$B$7</f>
        <v/>
      </c>
      <c r="I237" s="22">
        <f>IF(AND(F237&gt;=G237,D237&gt;=H237),"FI reached","")</f>
        <v/>
      </c>
      <c r="J237" s="22">
        <f>IF(A237=720,"60-year model limit","")</f>
        <v/>
      </c>
    </row>
    <row r="238">
      <c r="A238" s="23" t="n">
        <v>222</v>
      </c>
      <c r="B238" s="24">
        <f>EDATE(TODAY(),A238)</f>
        <v/>
      </c>
      <c r="C238" s="25">
        <f>Inputs!$B$5+A238/12</f>
        <v/>
      </c>
      <c r="D238" s="15">
        <f>D237*(1+$B$8)^(1/12)+$B$10</f>
        <v/>
      </c>
      <c r="E238" s="15">
        <f>E237*(1+$B$9)^(1/12)</f>
        <v/>
      </c>
      <c r="F238" s="15">
        <f>D238+E238</f>
        <v/>
      </c>
      <c r="G238" s="15">
        <f>$B$6</f>
        <v/>
      </c>
      <c r="H238" s="15">
        <f>$B$7</f>
        <v/>
      </c>
      <c r="I238" s="22">
        <f>IF(AND(F238&gt;=G238,D238&gt;=H238),"FI reached","")</f>
        <v/>
      </c>
      <c r="J238" s="22">
        <f>IF(A238=720,"60-year model limit","")</f>
        <v/>
      </c>
    </row>
    <row r="239">
      <c r="A239" s="23" t="n">
        <v>223</v>
      </c>
      <c r="B239" s="24">
        <f>EDATE(TODAY(),A239)</f>
        <v/>
      </c>
      <c r="C239" s="25">
        <f>Inputs!$B$5+A239/12</f>
        <v/>
      </c>
      <c r="D239" s="15">
        <f>D238*(1+$B$8)^(1/12)+$B$10</f>
        <v/>
      </c>
      <c r="E239" s="15">
        <f>E238*(1+$B$9)^(1/12)</f>
        <v/>
      </c>
      <c r="F239" s="15">
        <f>D239+E239</f>
        <v/>
      </c>
      <c r="G239" s="15">
        <f>$B$6</f>
        <v/>
      </c>
      <c r="H239" s="15">
        <f>$B$7</f>
        <v/>
      </c>
      <c r="I239" s="22">
        <f>IF(AND(F239&gt;=G239,D239&gt;=H239),"FI reached","")</f>
        <v/>
      </c>
      <c r="J239" s="22">
        <f>IF(A239=720,"60-year model limit","")</f>
        <v/>
      </c>
    </row>
    <row r="240">
      <c r="A240" s="23" t="n">
        <v>224</v>
      </c>
      <c r="B240" s="24">
        <f>EDATE(TODAY(),A240)</f>
        <v/>
      </c>
      <c r="C240" s="25">
        <f>Inputs!$B$5+A240/12</f>
        <v/>
      </c>
      <c r="D240" s="15">
        <f>D239*(1+$B$8)^(1/12)+$B$10</f>
        <v/>
      </c>
      <c r="E240" s="15">
        <f>E239*(1+$B$9)^(1/12)</f>
        <v/>
      </c>
      <c r="F240" s="15">
        <f>D240+E240</f>
        <v/>
      </c>
      <c r="G240" s="15">
        <f>$B$6</f>
        <v/>
      </c>
      <c r="H240" s="15">
        <f>$B$7</f>
        <v/>
      </c>
      <c r="I240" s="22">
        <f>IF(AND(F240&gt;=G240,D240&gt;=H240),"FI reached","")</f>
        <v/>
      </c>
      <c r="J240" s="22">
        <f>IF(A240=720,"60-year model limit","")</f>
        <v/>
      </c>
    </row>
    <row r="241">
      <c r="A241" s="23" t="n">
        <v>225</v>
      </c>
      <c r="B241" s="24">
        <f>EDATE(TODAY(),A241)</f>
        <v/>
      </c>
      <c r="C241" s="25">
        <f>Inputs!$B$5+A241/12</f>
        <v/>
      </c>
      <c r="D241" s="15">
        <f>D240*(1+$B$8)^(1/12)+$B$10</f>
        <v/>
      </c>
      <c r="E241" s="15">
        <f>E240*(1+$B$9)^(1/12)</f>
        <v/>
      </c>
      <c r="F241" s="15">
        <f>D241+E241</f>
        <v/>
      </c>
      <c r="G241" s="15">
        <f>$B$6</f>
        <v/>
      </c>
      <c r="H241" s="15">
        <f>$B$7</f>
        <v/>
      </c>
      <c r="I241" s="22">
        <f>IF(AND(F241&gt;=G241,D241&gt;=H241),"FI reached","")</f>
        <v/>
      </c>
      <c r="J241" s="22">
        <f>IF(A241=720,"60-year model limit","")</f>
        <v/>
      </c>
    </row>
    <row r="242">
      <c r="A242" s="23" t="n">
        <v>226</v>
      </c>
      <c r="B242" s="24">
        <f>EDATE(TODAY(),A242)</f>
        <v/>
      </c>
      <c r="C242" s="25">
        <f>Inputs!$B$5+A242/12</f>
        <v/>
      </c>
      <c r="D242" s="15">
        <f>D241*(1+$B$8)^(1/12)+$B$10</f>
        <v/>
      </c>
      <c r="E242" s="15">
        <f>E241*(1+$B$9)^(1/12)</f>
        <v/>
      </c>
      <c r="F242" s="15">
        <f>D242+E242</f>
        <v/>
      </c>
      <c r="G242" s="15">
        <f>$B$6</f>
        <v/>
      </c>
      <c r="H242" s="15">
        <f>$B$7</f>
        <v/>
      </c>
      <c r="I242" s="22">
        <f>IF(AND(F242&gt;=G242,D242&gt;=H242),"FI reached","")</f>
        <v/>
      </c>
      <c r="J242" s="22">
        <f>IF(A242=720,"60-year model limit","")</f>
        <v/>
      </c>
    </row>
    <row r="243">
      <c r="A243" s="23" t="n">
        <v>227</v>
      </c>
      <c r="B243" s="24">
        <f>EDATE(TODAY(),A243)</f>
        <v/>
      </c>
      <c r="C243" s="25">
        <f>Inputs!$B$5+A243/12</f>
        <v/>
      </c>
      <c r="D243" s="15">
        <f>D242*(1+$B$8)^(1/12)+$B$10</f>
        <v/>
      </c>
      <c r="E243" s="15">
        <f>E242*(1+$B$9)^(1/12)</f>
        <v/>
      </c>
      <c r="F243" s="15">
        <f>D243+E243</f>
        <v/>
      </c>
      <c r="G243" s="15">
        <f>$B$6</f>
        <v/>
      </c>
      <c r="H243" s="15">
        <f>$B$7</f>
        <v/>
      </c>
      <c r="I243" s="22">
        <f>IF(AND(F243&gt;=G243,D243&gt;=H243),"FI reached","")</f>
        <v/>
      </c>
      <c r="J243" s="22">
        <f>IF(A243=720,"60-year model limit","")</f>
        <v/>
      </c>
    </row>
    <row r="244">
      <c r="A244" s="23" t="n">
        <v>228</v>
      </c>
      <c r="B244" s="24">
        <f>EDATE(TODAY(),A244)</f>
        <v/>
      </c>
      <c r="C244" s="25">
        <f>Inputs!$B$5+A244/12</f>
        <v/>
      </c>
      <c r="D244" s="15">
        <f>D243*(1+$B$8)^(1/12)+$B$10</f>
        <v/>
      </c>
      <c r="E244" s="15">
        <f>E243*(1+$B$9)^(1/12)</f>
        <v/>
      </c>
      <c r="F244" s="15">
        <f>D244+E244</f>
        <v/>
      </c>
      <c r="G244" s="15">
        <f>$B$6</f>
        <v/>
      </c>
      <c r="H244" s="15">
        <f>$B$7</f>
        <v/>
      </c>
      <c r="I244" s="22">
        <f>IF(AND(F244&gt;=G244,D244&gt;=H244),"FI reached","")</f>
        <v/>
      </c>
      <c r="J244" s="22">
        <f>IF(A244=720,"60-year model limit","")</f>
        <v/>
      </c>
    </row>
    <row r="245">
      <c r="A245" s="23" t="n">
        <v>229</v>
      </c>
      <c r="B245" s="24">
        <f>EDATE(TODAY(),A245)</f>
        <v/>
      </c>
      <c r="C245" s="25">
        <f>Inputs!$B$5+A245/12</f>
        <v/>
      </c>
      <c r="D245" s="15">
        <f>D244*(1+$B$8)^(1/12)+$B$10</f>
        <v/>
      </c>
      <c r="E245" s="15">
        <f>E244*(1+$B$9)^(1/12)</f>
        <v/>
      </c>
      <c r="F245" s="15">
        <f>D245+E245</f>
        <v/>
      </c>
      <c r="G245" s="15">
        <f>$B$6</f>
        <v/>
      </c>
      <c r="H245" s="15">
        <f>$B$7</f>
        <v/>
      </c>
      <c r="I245" s="22">
        <f>IF(AND(F245&gt;=G245,D245&gt;=H245),"FI reached","")</f>
        <v/>
      </c>
      <c r="J245" s="22">
        <f>IF(A245=720,"60-year model limit","")</f>
        <v/>
      </c>
    </row>
    <row r="246">
      <c r="A246" s="23" t="n">
        <v>230</v>
      </c>
      <c r="B246" s="24">
        <f>EDATE(TODAY(),A246)</f>
        <v/>
      </c>
      <c r="C246" s="25">
        <f>Inputs!$B$5+A246/12</f>
        <v/>
      </c>
      <c r="D246" s="15">
        <f>D245*(1+$B$8)^(1/12)+$B$10</f>
        <v/>
      </c>
      <c r="E246" s="15">
        <f>E245*(1+$B$9)^(1/12)</f>
        <v/>
      </c>
      <c r="F246" s="15">
        <f>D246+E246</f>
        <v/>
      </c>
      <c r="G246" s="15">
        <f>$B$6</f>
        <v/>
      </c>
      <c r="H246" s="15">
        <f>$B$7</f>
        <v/>
      </c>
      <c r="I246" s="22">
        <f>IF(AND(F246&gt;=G246,D246&gt;=H246),"FI reached","")</f>
        <v/>
      </c>
      <c r="J246" s="22">
        <f>IF(A246=720,"60-year model limit","")</f>
        <v/>
      </c>
    </row>
    <row r="247">
      <c r="A247" s="23" t="n">
        <v>231</v>
      </c>
      <c r="B247" s="24">
        <f>EDATE(TODAY(),A247)</f>
        <v/>
      </c>
      <c r="C247" s="25">
        <f>Inputs!$B$5+A247/12</f>
        <v/>
      </c>
      <c r="D247" s="15">
        <f>D246*(1+$B$8)^(1/12)+$B$10</f>
        <v/>
      </c>
      <c r="E247" s="15">
        <f>E246*(1+$B$9)^(1/12)</f>
        <v/>
      </c>
      <c r="F247" s="15">
        <f>D247+E247</f>
        <v/>
      </c>
      <c r="G247" s="15">
        <f>$B$6</f>
        <v/>
      </c>
      <c r="H247" s="15">
        <f>$B$7</f>
        <v/>
      </c>
      <c r="I247" s="22">
        <f>IF(AND(F247&gt;=G247,D247&gt;=H247),"FI reached","")</f>
        <v/>
      </c>
      <c r="J247" s="22">
        <f>IF(A247=720,"60-year model limit","")</f>
        <v/>
      </c>
    </row>
    <row r="248">
      <c r="A248" s="23" t="n">
        <v>232</v>
      </c>
      <c r="B248" s="24">
        <f>EDATE(TODAY(),A248)</f>
        <v/>
      </c>
      <c r="C248" s="25">
        <f>Inputs!$B$5+A248/12</f>
        <v/>
      </c>
      <c r="D248" s="15">
        <f>D247*(1+$B$8)^(1/12)+$B$10</f>
        <v/>
      </c>
      <c r="E248" s="15">
        <f>E247*(1+$B$9)^(1/12)</f>
        <v/>
      </c>
      <c r="F248" s="15">
        <f>D248+E248</f>
        <v/>
      </c>
      <c r="G248" s="15">
        <f>$B$6</f>
        <v/>
      </c>
      <c r="H248" s="15">
        <f>$B$7</f>
        <v/>
      </c>
      <c r="I248" s="22">
        <f>IF(AND(F248&gt;=G248,D248&gt;=H248),"FI reached","")</f>
        <v/>
      </c>
      <c r="J248" s="22">
        <f>IF(A248=720,"60-year model limit","")</f>
        <v/>
      </c>
    </row>
    <row r="249">
      <c r="A249" s="23" t="n">
        <v>233</v>
      </c>
      <c r="B249" s="24">
        <f>EDATE(TODAY(),A249)</f>
        <v/>
      </c>
      <c r="C249" s="25">
        <f>Inputs!$B$5+A249/12</f>
        <v/>
      </c>
      <c r="D249" s="15">
        <f>D248*(1+$B$8)^(1/12)+$B$10</f>
        <v/>
      </c>
      <c r="E249" s="15">
        <f>E248*(1+$B$9)^(1/12)</f>
        <v/>
      </c>
      <c r="F249" s="15">
        <f>D249+E249</f>
        <v/>
      </c>
      <c r="G249" s="15">
        <f>$B$6</f>
        <v/>
      </c>
      <c r="H249" s="15">
        <f>$B$7</f>
        <v/>
      </c>
      <c r="I249" s="22">
        <f>IF(AND(F249&gt;=G249,D249&gt;=H249),"FI reached","")</f>
        <v/>
      </c>
      <c r="J249" s="22">
        <f>IF(A249=720,"60-year model limit","")</f>
        <v/>
      </c>
    </row>
    <row r="250">
      <c r="A250" s="23" t="n">
        <v>234</v>
      </c>
      <c r="B250" s="24">
        <f>EDATE(TODAY(),A250)</f>
        <v/>
      </c>
      <c r="C250" s="25">
        <f>Inputs!$B$5+A250/12</f>
        <v/>
      </c>
      <c r="D250" s="15">
        <f>D249*(1+$B$8)^(1/12)+$B$10</f>
        <v/>
      </c>
      <c r="E250" s="15">
        <f>E249*(1+$B$9)^(1/12)</f>
        <v/>
      </c>
      <c r="F250" s="15">
        <f>D250+E250</f>
        <v/>
      </c>
      <c r="G250" s="15">
        <f>$B$6</f>
        <v/>
      </c>
      <c r="H250" s="15">
        <f>$B$7</f>
        <v/>
      </c>
      <c r="I250" s="22">
        <f>IF(AND(F250&gt;=G250,D250&gt;=H250),"FI reached","")</f>
        <v/>
      </c>
      <c r="J250" s="22">
        <f>IF(A250=720,"60-year model limit","")</f>
        <v/>
      </c>
    </row>
    <row r="251">
      <c r="A251" s="23" t="n">
        <v>235</v>
      </c>
      <c r="B251" s="24">
        <f>EDATE(TODAY(),A251)</f>
        <v/>
      </c>
      <c r="C251" s="25">
        <f>Inputs!$B$5+A251/12</f>
        <v/>
      </c>
      <c r="D251" s="15">
        <f>D250*(1+$B$8)^(1/12)+$B$10</f>
        <v/>
      </c>
      <c r="E251" s="15">
        <f>E250*(1+$B$9)^(1/12)</f>
        <v/>
      </c>
      <c r="F251" s="15">
        <f>D251+E251</f>
        <v/>
      </c>
      <c r="G251" s="15">
        <f>$B$6</f>
        <v/>
      </c>
      <c r="H251" s="15">
        <f>$B$7</f>
        <v/>
      </c>
      <c r="I251" s="22">
        <f>IF(AND(F251&gt;=G251,D251&gt;=H251),"FI reached","")</f>
        <v/>
      </c>
      <c r="J251" s="22">
        <f>IF(A251=720,"60-year model limit","")</f>
        <v/>
      </c>
    </row>
    <row r="252">
      <c r="A252" s="23" t="n">
        <v>236</v>
      </c>
      <c r="B252" s="24">
        <f>EDATE(TODAY(),A252)</f>
        <v/>
      </c>
      <c r="C252" s="25">
        <f>Inputs!$B$5+A252/12</f>
        <v/>
      </c>
      <c r="D252" s="15">
        <f>D251*(1+$B$8)^(1/12)+$B$10</f>
        <v/>
      </c>
      <c r="E252" s="15">
        <f>E251*(1+$B$9)^(1/12)</f>
        <v/>
      </c>
      <c r="F252" s="15">
        <f>D252+E252</f>
        <v/>
      </c>
      <c r="G252" s="15">
        <f>$B$6</f>
        <v/>
      </c>
      <c r="H252" s="15">
        <f>$B$7</f>
        <v/>
      </c>
      <c r="I252" s="22">
        <f>IF(AND(F252&gt;=G252,D252&gt;=H252),"FI reached","")</f>
        <v/>
      </c>
      <c r="J252" s="22">
        <f>IF(A252=720,"60-year model limit","")</f>
        <v/>
      </c>
    </row>
    <row r="253">
      <c r="A253" s="23" t="n">
        <v>237</v>
      </c>
      <c r="B253" s="24">
        <f>EDATE(TODAY(),A253)</f>
        <v/>
      </c>
      <c r="C253" s="25">
        <f>Inputs!$B$5+A253/12</f>
        <v/>
      </c>
      <c r="D253" s="15">
        <f>D252*(1+$B$8)^(1/12)+$B$10</f>
        <v/>
      </c>
      <c r="E253" s="15">
        <f>E252*(1+$B$9)^(1/12)</f>
        <v/>
      </c>
      <c r="F253" s="15">
        <f>D253+E253</f>
        <v/>
      </c>
      <c r="G253" s="15">
        <f>$B$6</f>
        <v/>
      </c>
      <c r="H253" s="15">
        <f>$B$7</f>
        <v/>
      </c>
      <c r="I253" s="22">
        <f>IF(AND(F253&gt;=G253,D253&gt;=H253),"FI reached","")</f>
        <v/>
      </c>
      <c r="J253" s="22">
        <f>IF(A253=720,"60-year model limit","")</f>
        <v/>
      </c>
    </row>
    <row r="254">
      <c r="A254" s="23" t="n">
        <v>238</v>
      </c>
      <c r="B254" s="24">
        <f>EDATE(TODAY(),A254)</f>
        <v/>
      </c>
      <c r="C254" s="25">
        <f>Inputs!$B$5+A254/12</f>
        <v/>
      </c>
      <c r="D254" s="15">
        <f>D253*(1+$B$8)^(1/12)+$B$10</f>
        <v/>
      </c>
      <c r="E254" s="15">
        <f>E253*(1+$B$9)^(1/12)</f>
        <v/>
      </c>
      <c r="F254" s="15">
        <f>D254+E254</f>
        <v/>
      </c>
      <c r="G254" s="15">
        <f>$B$6</f>
        <v/>
      </c>
      <c r="H254" s="15">
        <f>$B$7</f>
        <v/>
      </c>
      <c r="I254" s="22">
        <f>IF(AND(F254&gt;=G254,D254&gt;=H254),"FI reached","")</f>
        <v/>
      </c>
      <c r="J254" s="22">
        <f>IF(A254=720,"60-year model limit","")</f>
        <v/>
      </c>
    </row>
    <row r="255">
      <c r="A255" s="23" t="n">
        <v>239</v>
      </c>
      <c r="B255" s="24">
        <f>EDATE(TODAY(),A255)</f>
        <v/>
      </c>
      <c r="C255" s="25">
        <f>Inputs!$B$5+A255/12</f>
        <v/>
      </c>
      <c r="D255" s="15">
        <f>D254*(1+$B$8)^(1/12)+$B$10</f>
        <v/>
      </c>
      <c r="E255" s="15">
        <f>E254*(1+$B$9)^(1/12)</f>
        <v/>
      </c>
      <c r="F255" s="15">
        <f>D255+E255</f>
        <v/>
      </c>
      <c r="G255" s="15">
        <f>$B$6</f>
        <v/>
      </c>
      <c r="H255" s="15">
        <f>$B$7</f>
        <v/>
      </c>
      <c r="I255" s="22">
        <f>IF(AND(F255&gt;=G255,D255&gt;=H255),"FI reached","")</f>
        <v/>
      </c>
      <c r="J255" s="22">
        <f>IF(A255=720,"60-year model limit","")</f>
        <v/>
      </c>
    </row>
    <row r="256">
      <c r="A256" s="23" t="n">
        <v>240</v>
      </c>
      <c r="B256" s="24">
        <f>EDATE(TODAY(),A256)</f>
        <v/>
      </c>
      <c r="C256" s="25">
        <f>Inputs!$B$5+A256/12</f>
        <v/>
      </c>
      <c r="D256" s="15">
        <f>D255*(1+$B$8)^(1/12)+$B$10</f>
        <v/>
      </c>
      <c r="E256" s="15">
        <f>E255*(1+$B$9)^(1/12)</f>
        <v/>
      </c>
      <c r="F256" s="15">
        <f>D256+E256</f>
        <v/>
      </c>
      <c r="G256" s="15">
        <f>$B$6</f>
        <v/>
      </c>
      <c r="H256" s="15">
        <f>$B$7</f>
        <v/>
      </c>
      <c r="I256" s="22">
        <f>IF(AND(F256&gt;=G256,D256&gt;=H256),"FI reached","")</f>
        <v/>
      </c>
      <c r="J256" s="22">
        <f>IF(A256=720,"60-year model limit","")</f>
        <v/>
      </c>
    </row>
    <row r="257">
      <c r="A257" s="23" t="n">
        <v>241</v>
      </c>
      <c r="B257" s="24">
        <f>EDATE(TODAY(),A257)</f>
        <v/>
      </c>
      <c r="C257" s="25">
        <f>Inputs!$B$5+A257/12</f>
        <v/>
      </c>
      <c r="D257" s="15">
        <f>D256*(1+$B$8)^(1/12)+$B$10</f>
        <v/>
      </c>
      <c r="E257" s="15">
        <f>E256*(1+$B$9)^(1/12)</f>
        <v/>
      </c>
      <c r="F257" s="15">
        <f>D257+E257</f>
        <v/>
      </c>
      <c r="G257" s="15">
        <f>$B$6</f>
        <v/>
      </c>
      <c r="H257" s="15">
        <f>$B$7</f>
        <v/>
      </c>
      <c r="I257" s="22">
        <f>IF(AND(F257&gt;=G257,D257&gt;=H257),"FI reached","")</f>
        <v/>
      </c>
      <c r="J257" s="22">
        <f>IF(A257=720,"60-year model limit","")</f>
        <v/>
      </c>
    </row>
    <row r="258">
      <c r="A258" s="23" t="n">
        <v>242</v>
      </c>
      <c r="B258" s="24">
        <f>EDATE(TODAY(),A258)</f>
        <v/>
      </c>
      <c r="C258" s="25">
        <f>Inputs!$B$5+A258/12</f>
        <v/>
      </c>
      <c r="D258" s="15">
        <f>D257*(1+$B$8)^(1/12)+$B$10</f>
        <v/>
      </c>
      <c r="E258" s="15">
        <f>E257*(1+$B$9)^(1/12)</f>
        <v/>
      </c>
      <c r="F258" s="15">
        <f>D258+E258</f>
        <v/>
      </c>
      <c r="G258" s="15">
        <f>$B$6</f>
        <v/>
      </c>
      <c r="H258" s="15">
        <f>$B$7</f>
        <v/>
      </c>
      <c r="I258" s="22">
        <f>IF(AND(F258&gt;=G258,D258&gt;=H258),"FI reached","")</f>
        <v/>
      </c>
      <c r="J258" s="22">
        <f>IF(A258=720,"60-year model limit","")</f>
        <v/>
      </c>
    </row>
    <row r="259">
      <c r="A259" s="23" t="n">
        <v>243</v>
      </c>
      <c r="B259" s="24">
        <f>EDATE(TODAY(),A259)</f>
        <v/>
      </c>
      <c r="C259" s="25">
        <f>Inputs!$B$5+A259/12</f>
        <v/>
      </c>
      <c r="D259" s="15">
        <f>D258*(1+$B$8)^(1/12)+$B$10</f>
        <v/>
      </c>
      <c r="E259" s="15">
        <f>E258*(1+$B$9)^(1/12)</f>
        <v/>
      </c>
      <c r="F259" s="15">
        <f>D259+E259</f>
        <v/>
      </c>
      <c r="G259" s="15">
        <f>$B$6</f>
        <v/>
      </c>
      <c r="H259" s="15">
        <f>$B$7</f>
        <v/>
      </c>
      <c r="I259" s="22">
        <f>IF(AND(F259&gt;=G259,D259&gt;=H259),"FI reached","")</f>
        <v/>
      </c>
      <c r="J259" s="22">
        <f>IF(A259=720,"60-year model limit","")</f>
        <v/>
      </c>
    </row>
    <row r="260">
      <c r="A260" s="23" t="n">
        <v>244</v>
      </c>
      <c r="B260" s="24">
        <f>EDATE(TODAY(),A260)</f>
        <v/>
      </c>
      <c r="C260" s="25">
        <f>Inputs!$B$5+A260/12</f>
        <v/>
      </c>
      <c r="D260" s="15">
        <f>D259*(1+$B$8)^(1/12)+$B$10</f>
        <v/>
      </c>
      <c r="E260" s="15">
        <f>E259*(1+$B$9)^(1/12)</f>
        <v/>
      </c>
      <c r="F260" s="15">
        <f>D260+E260</f>
        <v/>
      </c>
      <c r="G260" s="15">
        <f>$B$6</f>
        <v/>
      </c>
      <c r="H260" s="15">
        <f>$B$7</f>
        <v/>
      </c>
      <c r="I260" s="22">
        <f>IF(AND(F260&gt;=G260,D260&gt;=H260),"FI reached","")</f>
        <v/>
      </c>
      <c r="J260" s="22">
        <f>IF(A260=720,"60-year model limit","")</f>
        <v/>
      </c>
    </row>
    <row r="261">
      <c r="A261" s="23" t="n">
        <v>245</v>
      </c>
      <c r="B261" s="24">
        <f>EDATE(TODAY(),A261)</f>
        <v/>
      </c>
      <c r="C261" s="25">
        <f>Inputs!$B$5+A261/12</f>
        <v/>
      </c>
      <c r="D261" s="15">
        <f>D260*(1+$B$8)^(1/12)+$B$10</f>
        <v/>
      </c>
      <c r="E261" s="15">
        <f>E260*(1+$B$9)^(1/12)</f>
        <v/>
      </c>
      <c r="F261" s="15">
        <f>D261+E261</f>
        <v/>
      </c>
      <c r="G261" s="15">
        <f>$B$6</f>
        <v/>
      </c>
      <c r="H261" s="15">
        <f>$B$7</f>
        <v/>
      </c>
      <c r="I261" s="22">
        <f>IF(AND(F261&gt;=G261,D261&gt;=H261),"FI reached","")</f>
        <v/>
      </c>
      <c r="J261" s="22">
        <f>IF(A261=720,"60-year model limit","")</f>
        <v/>
      </c>
    </row>
    <row r="262">
      <c r="A262" s="23" t="n">
        <v>246</v>
      </c>
      <c r="B262" s="24">
        <f>EDATE(TODAY(),A262)</f>
        <v/>
      </c>
      <c r="C262" s="25">
        <f>Inputs!$B$5+A262/12</f>
        <v/>
      </c>
      <c r="D262" s="15">
        <f>D261*(1+$B$8)^(1/12)+$B$10</f>
        <v/>
      </c>
      <c r="E262" s="15">
        <f>E261*(1+$B$9)^(1/12)</f>
        <v/>
      </c>
      <c r="F262" s="15">
        <f>D262+E262</f>
        <v/>
      </c>
      <c r="G262" s="15">
        <f>$B$6</f>
        <v/>
      </c>
      <c r="H262" s="15">
        <f>$B$7</f>
        <v/>
      </c>
      <c r="I262" s="22">
        <f>IF(AND(F262&gt;=G262,D262&gt;=H262),"FI reached","")</f>
        <v/>
      </c>
      <c r="J262" s="22">
        <f>IF(A262=720,"60-year model limit","")</f>
        <v/>
      </c>
    </row>
    <row r="263">
      <c r="A263" s="23" t="n">
        <v>247</v>
      </c>
      <c r="B263" s="24">
        <f>EDATE(TODAY(),A263)</f>
        <v/>
      </c>
      <c r="C263" s="25">
        <f>Inputs!$B$5+A263/12</f>
        <v/>
      </c>
      <c r="D263" s="15">
        <f>D262*(1+$B$8)^(1/12)+$B$10</f>
        <v/>
      </c>
      <c r="E263" s="15">
        <f>E262*(1+$B$9)^(1/12)</f>
        <v/>
      </c>
      <c r="F263" s="15">
        <f>D263+E263</f>
        <v/>
      </c>
      <c r="G263" s="15">
        <f>$B$6</f>
        <v/>
      </c>
      <c r="H263" s="15">
        <f>$B$7</f>
        <v/>
      </c>
      <c r="I263" s="22">
        <f>IF(AND(F263&gt;=G263,D263&gt;=H263),"FI reached","")</f>
        <v/>
      </c>
      <c r="J263" s="22">
        <f>IF(A263=720,"60-year model limit","")</f>
        <v/>
      </c>
    </row>
    <row r="264">
      <c r="A264" s="23" t="n">
        <v>248</v>
      </c>
      <c r="B264" s="24">
        <f>EDATE(TODAY(),A264)</f>
        <v/>
      </c>
      <c r="C264" s="25">
        <f>Inputs!$B$5+A264/12</f>
        <v/>
      </c>
      <c r="D264" s="15">
        <f>D263*(1+$B$8)^(1/12)+$B$10</f>
        <v/>
      </c>
      <c r="E264" s="15">
        <f>E263*(1+$B$9)^(1/12)</f>
        <v/>
      </c>
      <c r="F264" s="15">
        <f>D264+E264</f>
        <v/>
      </c>
      <c r="G264" s="15">
        <f>$B$6</f>
        <v/>
      </c>
      <c r="H264" s="15">
        <f>$B$7</f>
        <v/>
      </c>
      <c r="I264" s="22">
        <f>IF(AND(F264&gt;=G264,D264&gt;=H264),"FI reached","")</f>
        <v/>
      </c>
      <c r="J264" s="22">
        <f>IF(A264=720,"60-year model limit","")</f>
        <v/>
      </c>
    </row>
    <row r="265">
      <c r="A265" s="23" t="n">
        <v>249</v>
      </c>
      <c r="B265" s="24">
        <f>EDATE(TODAY(),A265)</f>
        <v/>
      </c>
      <c r="C265" s="25">
        <f>Inputs!$B$5+A265/12</f>
        <v/>
      </c>
      <c r="D265" s="15">
        <f>D264*(1+$B$8)^(1/12)+$B$10</f>
        <v/>
      </c>
      <c r="E265" s="15">
        <f>E264*(1+$B$9)^(1/12)</f>
        <v/>
      </c>
      <c r="F265" s="15">
        <f>D265+E265</f>
        <v/>
      </c>
      <c r="G265" s="15">
        <f>$B$6</f>
        <v/>
      </c>
      <c r="H265" s="15">
        <f>$B$7</f>
        <v/>
      </c>
      <c r="I265" s="22">
        <f>IF(AND(F265&gt;=G265,D265&gt;=H265),"FI reached","")</f>
        <v/>
      </c>
      <c r="J265" s="22">
        <f>IF(A265=720,"60-year model limit","")</f>
        <v/>
      </c>
    </row>
    <row r="266">
      <c r="A266" s="23" t="n">
        <v>250</v>
      </c>
      <c r="B266" s="24">
        <f>EDATE(TODAY(),A266)</f>
        <v/>
      </c>
      <c r="C266" s="25">
        <f>Inputs!$B$5+A266/12</f>
        <v/>
      </c>
      <c r="D266" s="15">
        <f>D265*(1+$B$8)^(1/12)+$B$10</f>
        <v/>
      </c>
      <c r="E266" s="15">
        <f>E265*(1+$B$9)^(1/12)</f>
        <v/>
      </c>
      <c r="F266" s="15">
        <f>D266+E266</f>
        <v/>
      </c>
      <c r="G266" s="15">
        <f>$B$6</f>
        <v/>
      </c>
      <c r="H266" s="15">
        <f>$B$7</f>
        <v/>
      </c>
      <c r="I266" s="22">
        <f>IF(AND(F266&gt;=G266,D266&gt;=H266),"FI reached","")</f>
        <v/>
      </c>
      <c r="J266" s="22">
        <f>IF(A266=720,"60-year model limit","")</f>
        <v/>
      </c>
    </row>
    <row r="267">
      <c r="A267" s="23" t="n">
        <v>251</v>
      </c>
      <c r="B267" s="24">
        <f>EDATE(TODAY(),A267)</f>
        <v/>
      </c>
      <c r="C267" s="25">
        <f>Inputs!$B$5+A267/12</f>
        <v/>
      </c>
      <c r="D267" s="15">
        <f>D266*(1+$B$8)^(1/12)+$B$10</f>
        <v/>
      </c>
      <c r="E267" s="15">
        <f>E266*(1+$B$9)^(1/12)</f>
        <v/>
      </c>
      <c r="F267" s="15">
        <f>D267+E267</f>
        <v/>
      </c>
      <c r="G267" s="15">
        <f>$B$6</f>
        <v/>
      </c>
      <c r="H267" s="15">
        <f>$B$7</f>
        <v/>
      </c>
      <c r="I267" s="22">
        <f>IF(AND(F267&gt;=G267,D267&gt;=H267),"FI reached","")</f>
        <v/>
      </c>
      <c r="J267" s="22">
        <f>IF(A267=720,"60-year model limit","")</f>
        <v/>
      </c>
    </row>
    <row r="268">
      <c r="A268" s="23" t="n">
        <v>252</v>
      </c>
      <c r="B268" s="24">
        <f>EDATE(TODAY(),A268)</f>
        <v/>
      </c>
      <c r="C268" s="25">
        <f>Inputs!$B$5+A268/12</f>
        <v/>
      </c>
      <c r="D268" s="15">
        <f>D267*(1+$B$8)^(1/12)+$B$10</f>
        <v/>
      </c>
      <c r="E268" s="15">
        <f>E267*(1+$B$9)^(1/12)</f>
        <v/>
      </c>
      <c r="F268" s="15">
        <f>D268+E268</f>
        <v/>
      </c>
      <c r="G268" s="15">
        <f>$B$6</f>
        <v/>
      </c>
      <c r="H268" s="15">
        <f>$B$7</f>
        <v/>
      </c>
      <c r="I268" s="22">
        <f>IF(AND(F268&gt;=G268,D268&gt;=H268),"FI reached","")</f>
        <v/>
      </c>
      <c r="J268" s="22">
        <f>IF(A268=720,"60-year model limit","")</f>
        <v/>
      </c>
    </row>
    <row r="269">
      <c r="A269" s="23" t="n">
        <v>253</v>
      </c>
      <c r="B269" s="24">
        <f>EDATE(TODAY(),A269)</f>
        <v/>
      </c>
      <c r="C269" s="25">
        <f>Inputs!$B$5+A269/12</f>
        <v/>
      </c>
      <c r="D269" s="15">
        <f>D268*(1+$B$8)^(1/12)+$B$10</f>
        <v/>
      </c>
      <c r="E269" s="15">
        <f>E268*(1+$B$9)^(1/12)</f>
        <v/>
      </c>
      <c r="F269" s="15">
        <f>D269+E269</f>
        <v/>
      </c>
      <c r="G269" s="15">
        <f>$B$6</f>
        <v/>
      </c>
      <c r="H269" s="15">
        <f>$B$7</f>
        <v/>
      </c>
      <c r="I269" s="22">
        <f>IF(AND(F269&gt;=G269,D269&gt;=H269),"FI reached","")</f>
        <v/>
      </c>
      <c r="J269" s="22">
        <f>IF(A269=720,"60-year model limit","")</f>
        <v/>
      </c>
    </row>
    <row r="270">
      <c r="A270" s="23" t="n">
        <v>254</v>
      </c>
      <c r="B270" s="24">
        <f>EDATE(TODAY(),A270)</f>
        <v/>
      </c>
      <c r="C270" s="25">
        <f>Inputs!$B$5+A270/12</f>
        <v/>
      </c>
      <c r="D270" s="15">
        <f>D269*(1+$B$8)^(1/12)+$B$10</f>
        <v/>
      </c>
      <c r="E270" s="15">
        <f>E269*(1+$B$9)^(1/12)</f>
        <v/>
      </c>
      <c r="F270" s="15">
        <f>D270+E270</f>
        <v/>
      </c>
      <c r="G270" s="15">
        <f>$B$6</f>
        <v/>
      </c>
      <c r="H270" s="15">
        <f>$B$7</f>
        <v/>
      </c>
      <c r="I270" s="22">
        <f>IF(AND(F270&gt;=G270,D270&gt;=H270),"FI reached","")</f>
        <v/>
      </c>
      <c r="J270" s="22">
        <f>IF(A270=720,"60-year model limit","")</f>
        <v/>
      </c>
    </row>
    <row r="271">
      <c r="A271" s="23" t="n">
        <v>255</v>
      </c>
      <c r="B271" s="24">
        <f>EDATE(TODAY(),A271)</f>
        <v/>
      </c>
      <c r="C271" s="25">
        <f>Inputs!$B$5+A271/12</f>
        <v/>
      </c>
      <c r="D271" s="15">
        <f>D270*(1+$B$8)^(1/12)+$B$10</f>
        <v/>
      </c>
      <c r="E271" s="15">
        <f>E270*(1+$B$9)^(1/12)</f>
        <v/>
      </c>
      <c r="F271" s="15">
        <f>D271+E271</f>
        <v/>
      </c>
      <c r="G271" s="15">
        <f>$B$6</f>
        <v/>
      </c>
      <c r="H271" s="15">
        <f>$B$7</f>
        <v/>
      </c>
      <c r="I271" s="22">
        <f>IF(AND(F271&gt;=G271,D271&gt;=H271),"FI reached","")</f>
        <v/>
      </c>
      <c r="J271" s="22">
        <f>IF(A271=720,"60-year model limit","")</f>
        <v/>
      </c>
    </row>
    <row r="272">
      <c r="A272" s="23" t="n">
        <v>256</v>
      </c>
      <c r="B272" s="24">
        <f>EDATE(TODAY(),A272)</f>
        <v/>
      </c>
      <c r="C272" s="25">
        <f>Inputs!$B$5+A272/12</f>
        <v/>
      </c>
      <c r="D272" s="15">
        <f>D271*(1+$B$8)^(1/12)+$B$10</f>
        <v/>
      </c>
      <c r="E272" s="15">
        <f>E271*(1+$B$9)^(1/12)</f>
        <v/>
      </c>
      <c r="F272" s="15">
        <f>D272+E272</f>
        <v/>
      </c>
      <c r="G272" s="15">
        <f>$B$6</f>
        <v/>
      </c>
      <c r="H272" s="15">
        <f>$B$7</f>
        <v/>
      </c>
      <c r="I272" s="22">
        <f>IF(AND(F272&gt;=G272,D272&gt;=H272),"FI reached","")</f>
        <v/>
      </c>
      <c r="J272" s="22">
        <f>IF(A272=720,"60-year model limit","")</f>
        <v/>
      </c>
    </row>
    <row r="273">
      <c r="A273" s="23" t="n">
        <v>257</v>
      </c>
      <c r="B273" s="24">
        <f>EDATE(TODAY(),A273)</f>
        <v/>
      </c>
      <c r="C273" s="25">
        <f>Inputs!$B$5+A273/12</f>
        <v/>
      </c>
      <c r="D273" s="15">
        <f>D272*(1+$B$8)^(1/12)+$B$10</f>
        <v/>
      </c>
      <c r="E273" s="15">
        <f>E272*(1+$B$9)^(1/12)</f>
        <v/>
      </c>
      <c r="F273" s="15">
        <f>D273+E273</f>
        <v/>
      </c>
      <c r="G273" s="15">
        <f>$B$6</f>
        <v/>
      </c>
      <c r="H273" s="15">
        <f>$B$7</f>
        <v/>
      </c>
      <c r="I273" s="22">
        <f>IF(AND(F273&gt;=G273,D273&gt;=H273),"FI reached","")</f>
        <v/>
      </c>
      <c r="J273" s="22">
        <f>IF(A273=720,"60-year model limit","")</f>
        <v/>
      </c>
    </row>
    <row r="274">
      <c r="A274" s="23" t="n">
        <v>258</v>
      </c>
      <c r="B274" s="24">
        <f>EDATE(TODAY(),A274)</f>
        <v/>
      </c>
      <c r="C274" s="25">
        <f>Inputs!$B$5+A274/12</f>
        <v/>
      </c>
      <c r="D274" s="15">
        <f>D273*(1+$B$8)^(1/12)+$B$10</f>
        <v/>
      </c>
      <c r="E274" s="15">
        <f>E273*(1+$B$9)^(1/12)</f>
        <v/>
      </c>
      <c r="F274" s="15">
        <f>D274+E274</f>
        <v/>
      </c>
      <c r="G274" s="15">
        <f>$B$6</f>
        <v/>
      </c>
      <c r="H274" s="15">
        <f>$B$7</f>
        <v/>
      </c>
      <c r="I274" s="22">
        <f>IF(AND(F274&gt;=G274,D274&gt;=H274),"FI reached","")</f>
        <v/>
      </c>
      <c r="J274" s="22">
        <f>IF(A274=720,"60-year model limit","")</f>
        <v/>
      </c>
    </row>
    <row r="275">
      <c r="A275" s="23" t="n">
        <v>259</v>
      </c>
      <c r="B275" s="24">
        <f>EDATE(TODAY(),A275)</f>
        <v/>
      </c>
      <c r="C275" s="25">
        <f>Inputs!$B$5+A275/12</f>
        <v/>
      </c>
      <c r="D275" s="15">
        <f>D274*(1+$B$8)^(1/12)+$B$10</f>
        <v/>
      </c>
      <c r="E275" s="15">
        <f>E274*(1+$B$9)^(1/12)</f>
        <v/>
      </c>
      <c r="F275" s="15">
        <f>D275+E275</f>
        <v/>
      </c>
      <c r="G275" s="15">
        <f>$B$6</f>
        <v/>
      </c>
      <c r="H275" s="15">
        <f>$B$7</f>
        <v/>
      </c>
      <c r="I275" s="22">
        <f>IF(AND(F275&gt;=G275,D275&gt;=H275),"FI reached","")</f>
        <v/>
      </c>
      <c r="J275" s="22">
        <f>IF(A275=720,"60-year model limit","")</f>
        <v/>
      </c>
    </row>
    <row r="276">
      <c r="A276" s="23" t="n">
        <v>260</v>
      </c>
      <c r="B276" s="24">
        <f>EDATE(TODAY(),A276)</f>
        <v/>
      </c>
      <c r="C276" s="25">
        <f>Inputs!$B$5+A276/12</f>
        <v/>
      </c>
      <c r="D276" s="15">
        <f>D275*(1+$B$8)^(1/12)+$B$10</f>
        <v/>
      </c>
      <c r="E276" s="15">
        <f>E275*(1+$B$9)^(1/12)</f>
        <v/>
      </c>
      <c r="F276" s="15">
        <f>D276+E276</f>
        <v/>
      </c>
      <c r="G276" s="15">
        <f>$B$6</f>
        <v/>
      </c>
      <c r="H276" s="15">
        <f>$B$7</f>
        <v/>
      </c>
      <c r="I276" s="22">
        <f>IF(AND(F276&gt;=G276,D276&gt;=H276),"FI reached","")</f>
        <v/>
      </c>
      <c r="J276" s="22">
        <f>IF(A276=720,"60-year model limit","")</f>
        <v/>
      </c>
    </row>
    <row r="277">
      <c r="A277" s="23" t="n">
        <v>261</v>
      </c>
      <c r="B277" s="24">
        <f>EDATE(TODAY(),A277)</f>
        <v/>
      </c>
      <c r="C277" s="25">
        <f>Inputs!$B$5+A277/12</f>
        <v/>
      </c>
      <c r="D277" s="15">
        <f>D276*(1+$B$8)^(1/12)+$B$10</f>
        <v/>
      </c>
      <c r="E277" s="15">
        <f>E276*(1+$B$9)^(1/12)</f>
        <v/>
      </c>
      <c r="F277" s="15">
        <f>D277+E277</f>
        <v/>
      </c>
      <c r="G277" s="15">
        <f>$B$6</f>
        <v/>
      </c>
      <c r="H277" s="15">
        <f>$B$7</f>
        <v/>
      </c>
      <c r="I277" s="22">
        <f>IF(AND(F277&gt;=G277,D277&gt;=H277),"FI reached","")</f>
        <v/>
      </c>
      <c r="J277" s="22">
        <f>IF(A277=720,"60-year model limit","")</f>
        <v/>
      </c>
    </row>
    <row r="278">
      <c r="A278" s="23" t="n">
        <v>262</v>
      </c>
      <c r="B278" s="24">
        <f>EDATE(TODAY(),A278)</f>
        <v/>
      </c>
      <c r="C278" s="25">
        <f>Inputs!$B$5+A278/12</f>
        <v/>
      </c>
      <c r="D278" s="15">
        <f>D277*(1+$B$8)^(1/12)+$B$10</f>
        <v/>
      </c>
      <c r="E278" s="15">
        <f>E277*(1+$B$9)^(1/12)</f>
        <v/>
      </c>
      <c r="F278" s="15">
        <f>D278+E278</f>
        <v/>
      </c>
      <c r="G278" s="15">
        <f>$B$6</f>
        <v/>
      </c>
      <c r="H278" s="15">
        <f>$B$7</f>
        <v/>
      </c>
      <c r="I278" s="22">
        <f>IF(AND(F278&gt;=G278,D278&gt;=H278),"FI reached","")</f>
        <v/>
      </c>
      <c r="J278" s="22">
        <f>IF(A278=720,"60-year model limit","")</f>
        <v/>
      </c>
    </row>
    <row r="279">
      <c r="A279" s="23" t="n">
        <v>263</v>
      </c>
      <c r="B279" s="24">
        <f>EDATE(TODAY(),A279)</f>
        <v/>
      </c>
      <c r="C279" s="25">
        <f>Inputs!$B$5+A279/12</f>
        <v/>
      </c>
      <c r="D279" s="15">
        <f>D278*(1+$B$8)^(1/12)+$B$10</f>
        <v/>
      </c>
      <c r="E279" s="15">
        <f>E278*(1+$B$9)^(1/12)</f>
        <v/>
      </c>
      <c r="F279" s="15">
        <f>D279+E279</f>
        <v/>
      </c>
      <c r="G279" s="15">
        <f>$B$6</f>
        <v/>
      </c>
      <c r="H279" s="15">
        <f>$B$7</f>
        <v/>
      </c>
      <c r="I279" s="22">
        <f>IF(AND(F279&gt;=G279,D279&gt;=H279),"FI reached","")</f>
        <v/>
      </c>
      <c r="J279" s="22">
        <f>IF(A279=720,"60-year model limit","")</f>
        <v/>
      </c>
    </row>
    <row r="280">
      <c r="A280" s="23" t="n">
        <v>264</v>
      </c>
      <c r="B280" s="24">
        <f>EDATE(TODAY(),A280)</f>
        <v/>
      </c>
      <c r="C280" s="25">
        <f>Inputs!$B$5+A280/12</f>
        <v/>
      </c>
      <c r="D280" s="15">
        <f>D279*(1+$B$8)^(1/12)+$B$10</f>
        <v/>
      </c>
      <c r="E280" s="15">
        <f>E279*(1+$B$9)^(1/12)</f>
        <v/>
      </c>
      <c r="F280" s="15">
        <f>D280+E280</f>
        <v/>
      </c>
      <c r="G280" s="15">
        <f>$B$6</f>
        <v/>
      </c>
      <c r="H280" s="15">
        <f>$B$7</f>
        <v/>
      </c>
      <c r="I280" s="22">
        <f>IF(AND(F280&gt;=G280,D280&gt;=H280),"FI reached","")</f>
        <v/>
      </c>
      <c r="J280" s="22">
        <f>IF(A280=720,"60-year model limit","")</f>
        <v/>
      </c>
    </row>
    <row r="281">
      <c r="A281" s="23" t="n">
        <v>265</v>
      </c>
      <c r="B281" s="24">
        <f>EDATE(TODAY(),A281)</f>
        <v/>
      </c>
      <c r="C281" s="25">
        <f>Inputs!$B$5+A281/12</f>
        <v/>
      </c>
      <c r="D281" s="15">
        <f>D280*(1+$B$8)^(1/12)+$B$10</f>
        <v/>
      </c>
      <c r="E281" s="15">
        <f>E280*(1+$B$9)^(1/12)</f>
        <v/>
      </c>
      <c r="F281" s="15">
        <f>D281+E281</f>
        <v/>
      </c>
      <c r="G281" s="15">
        <f>$B$6</f>
        <v/>
      </c>
      <c r="H281" s="15">
        <f>$B$7</f>
        <v/>
      </c>
      <c r="I281" s="22">
        <f>IF(AND(F281&gt;=G281,D281&gt;=H281),"FI reached","")</f>
        <v/>
      </c>
      <c r="J281" s="22">
        <f>IF(A281=720,"60-year model limit","")</f>
        <v/>
      </c>
    </row>
    <row r="282">
      <c r="A282" s="23" t="n">
        <v>266</v>
      </c>
      <c r="B282" s="24">
        <f>EDATE(TODAY(),A282)</f>
        <v/>
      </c>
      <c r="C282" s="25">
        <f>Inputs!$B$5+A282/12</f>
        <v/>
      </c>
      <c r="D282" s="15">
        <f>D281*(1+$B$8)^(1/12)+$B$10</f>
        <v/>
      </c>
      <c r="E282" s="15">
        <f>E281*(1+$B$9)^(1/12)</f>
        <v/>
      </c>
      <c r="F282" s="15">
        <f>D282+E282</f>
        <v/>
      </c>
      <c r="G282" s="15">
        <f>$B$6</f>
        <v/>
      </c>
      <c r="H282" s="15">
        <f>$B$7</f>
        <v/>
      </c>
      <c r="I282" s="22">
        <f>IF(AND(F282&gt;=G282,D282&gt;=H282),"FI reached","")</f>
        <v/>
      </c>
      <c r="J282" s="22">
        <f>IF(A282=720,"60-year model limit","")</f>
        <v/>
      </c>
    </row>
    <row r="283">
      <c r="A283" s="23" t="n">
        <v>267</v>
      </c>
      <c r="B283" s="24">
        <f>EDATE(TODAY(),A283)</f>
        <v/>
      </c>
      <c r="C283" s="25">
        <f>Inputs!$B$5+A283/12</f>
        <v/>
      </c>
      <c r="D283" s="15">
        <f>D282*(1+$B$8)^(1/12)+$B$10</f>
        <v/>
      </c>
      <c r="E283" s="15">
        <f>E282*(1+$B$9)^(1/12)</f>
        <v/>
      </c>
      <c r="F283" s="15">
        <f>D283+E283</f>
        <v/>
      </c>
      <c r="G283" s="15">
        <f>$B$6</f>
        <v/>
      </c>
      <c r="H283" s="15">
        <f>$B$7</f>
        <v/>
      </c>
      <c r="I283" s="22">
        <f>IF(AND(F283&gt;=G283,D283&gt;=H283),"FI reached","")</f>
        <v/>
      </c>
      <c r="J283" s="22">
        <f>IF(A283=720,"60-year model limit","")</f>
        <v/>
      </c>
    </row>
    <row r="284">
      <c r="A284" s="23" t="n">
        <v>268</v>
      </c>
      <c r="B284" s="24">
        <f>EDATE(TODAY(),A284)</f>
        <v/>
      </c>
      <c r="C284" s="25">
        <f>Inputs!$B$5+A284/12</f>
        <v/>
      </c>
      <c r="D284" s="15">
        <f>D283*(1+$B$8)^(1/12)+$B$10</f>
        <v/>
      </c>
      <c r="E284" s="15">
        <f>E283*(1+$B$9)^(1/12)</f>
        <v/>
      </c>
      <c r="F284" s="15">
        <f>D284+E284</f>
        <v/>
      </c>
      <c r="G284" s="15">
        <f>$B$6</f>
        <v/>
      </c>
      <c r="H284" s="15">
        <f>$B$7</f>
        <v/>
      </c>
      <c r="I284" s="22">
        <f>IF(AND(F284&gt;=G284,D284&gt;=H284),"FI reached","")</f>
        <v/>
      </c>
      <c r="J284" s="22">
        <f>IF(A284=720,"60-year model limit","")</f>
        <v/>
      </c>
    </row>
    <row r="285">
      <c r="A285" s="23" t="n">
        <v>269</v>
      </c>
      <c r="B285" s="24">
        <f>EDATE(TODAY(),A285)</f>
        <v/>
      </c>
      <c r="C285" s="25">
        <f>Inputs!$B$5+A285/12</f>
        <v/>
      </c>
      <c r="D285" s="15">
        <f>D284*(1+$B$8)^(1/12)+$B$10</f>
        <v/>
      </c>
      <c r="E285" s="15">
        <f>E284*(1+$B$9)^(1/12)</f>
        <v/>
      </c>
      <c r="F285" s="15">
        <f>D285+E285</f>
        <v/>
      </c>
      <c r="G285" s="15">
        <f>$B$6</f>
        <v/>
      </c>
      <c r="H285" s="15">
        <f>$B$7</f>
        <v/>
      </c>
      <c r="I285" s="22">
        <f>IF(AND(F285&gt;=G285,D285&gt;=H285),"FI reached","")</f>
        <v/>
      </c>
      <c r="J285" s="22">
        <f>IF(A285=720,"60-year model limit","")</f>
        <v/>
      </c>
    </row>
    <row r="286">
      <c r="A286" s="23" t="n">
        <v>270</v>
      </c>
      <c r="B286" s="24">
        <f>EDATE(TODAY(),A286)</f>
        <v/>
      </c>
      <c r="C286" s="25">
        <f>Inputs!$B$5+A286/12</f>
        <v/>
      </c>
      <c r="D286" s="15">
        <f>D285*(1+$B$8)^(1/12)+$B$10</f>
        <v/>
      </c>
      <c r="E286" s="15">
        <f>E285*(1+$B$9)^(1/12)</f>
        <v/>
      </c>
      <c r="F286" s="15">
        <f>D286+E286</f>
        <v/>
      </c>
      <c r="G286" s="15">
        <f>$B$6</f>
        <v/>
      </c>
      <c r="H286" s="15">
        <f>$B$7</f>
        <v/>
      </c>
      <c r="I286" s="22">
        <f>IF(AND(F286&gt;=G286,D286&gt;=H286),"FI reached","")</f>
        <v/>
      </c>
      <c r="J286" s="22">
        <f>IF(A286=720,"60-year model limit","")</f>
        <v/>
      </c>
    </row>
    <row r="287">
      <c r="A287" s="23" t="n">
        <v>271</v>
      </c>
      <c r="B287" s="24">
        <f>EDATE(TODAY(),A287)</f>
        <v/>
      </c>
      <c r="C287" s="25">
        <f>Inputs!$B$5+A287/12</f>
        <v/>
      </c>
      <c r="D287" s="15">
        <f>D286*(1+$B$8)^(1/12)+$B$10</f>
        <v/>
      </c>
      <c r="E287" s="15">
        <f>E286*(1+$B$9)^(1/12)</f>
        <v/>
      </c>
      <c r="F287" s="15">
        <f>D287+E287</f>
        <v/>
      </c>
      <c r="G287" s="15">
        <f>$B$6</f>
        <v/>
      </c>
      <c r="H287" s="15">
        <f>$B$7</f>
        <v/>
      </c>
      <c r="I287" s="22">
        <f>IF(AND(F287&gt;=G287,D287&gt;=H287),"FI reached","")</f>
        <v/>
      </c>
      <c r="J287" s="22">
        <f>IF(A287=720,"60-year model limit","")</f>
        <v/>
      </c>
    </row>
    <row r="288">
      <c r="A288" s="23" t="n">
        <v>272</v>
      </c>
      <c r="B288" s="24">
        <f>EDATE(TODAY(),A288)</f>
        <v/>
      </c>
      <c r="C288" s="25">
        <f>Inputs!$B$5+A288/12</f>
        <v/>
      </c>
      <c r="D288" s="15">
        <f>D287*(1+$B$8)^(1/12)+$B$10</f>
        <v/>
      </c>
      <c r="E288" s="15">
        <f>E287*(1+$B$9)^(1/12)</f>
        <v/>
      </c>
      <c r="F288" s="15">
        <f>D288+E288</f>
        <v/>
      </c>
      <c r="G288" s="15">
        <f>$B$6</f>
        <v/>
      </c>
      <c r="H288" s="15">
        <f>$B$7</f>
        <v/>
      </c>
      <c r="I288" s="22">
        <f>IF(AND(F288&gt;=G288,D288&gt;=H288),"FI reached","")</f>
        <v/>
      </c>
      <c r="J288" s="22">
        <f>IF(A288=720,"60-year model limit","")</f>
        <v/>
      </c>
    </row>
    <row r="289">
      <c r="A289" s="23" t="n">
        <v>273</v>
      </c>
      <c r="B289" s="24">
        <f>EDATE(TODAY(),A289)</f>
        <v/>
      </c>
      <c r="C289" s="25">
        <f>Inputs!$B$5+A289/12</f>
        <v/>
      </c>
      <c r="D289" s="15">
        <f>D288*(1+$B$8)^(1/12)+$B$10</f>
        <v/>
      </c>
      <c r="E289" s="15">
        <f>E288*(1+$B$9)^(1/12)</f>
        <v/>
      </c>
      <c r="F289" s="15">
        <f>D289+E289</f>
        <v/>
      </c>
      <c r="G289" s="15">
        <f>$B$6</f>
        <v/>
      </c>
      <c r="H289" s="15">
        <f>$B$7</f>
        <v/>
      </c>
      <c r="I289" s="22">
        <f>IF(AND(F289&gt;=G289,D289&gt;=H289),"FI reached","")</f>
        <v/>
      </c>
      <c r="J289" s="22">
        <f>IF(A289=720,"60-year model limit","")</f>
        <v/>
      </c>
    </row>
    <row r="290">
      <c r="A290" s="23" t="n">
        <v>274</v>
      </c>
      <c r="B290" s="24">
        <f>EDATE(TODAY(),A290)</f>
        <v/>
      </c>
      <c r="C290" s="25">
        <f>Inputs!$B$5+A290/12</f>
        <v/>
      </c>
      <c r="D290" s="15">
        <f>D289*(1+$B$8)^(1/12)+$B$10</f>
        <v/>
      </c>
      <c r="E290" s="15">
        <f>E289*(1+$B$9)^(1/12)</f>
        <v/>
      </c>
      <c r="F290" s="15">
        <f>D290+E290</f>
        <v/>
      </c>
      <c r="G290" s="15">
        <f>$B$6</f>
        <v/>
      </c>
      <c r="H290" s="15">
        <f>$B$7</f>
        <v/>
      </c>
      <c r="I290" s="22">
        <f>IF(AND(F290&gt;=G290,D290&gt;=H290),"FI reached","")</f>
        <v/>
      </c>
      <c r="J290" s="22">
        <f>IF(A290=720,"60-year model limit","")</f>
        <v/>
      </c>
    </row>
    <row r="291">
      <c r="A291" s="23" t="n">
        <v>275</v>
      </c>
      <c r="B291" s="24">
        <f>EDATE(TODAY(),A291)</f>
        <v/>
      </c>
      <c r="C291" s="25">
        <f>Inputs!$B$5+A291/12</f>
        <v/>
      </c>
      <c r="D291" s="15">
        <f>D290*(1+$B$8)^(1/12)+$B$10</f>
        <v/>
      </c>
      <c r="E291" s="15">
        <f>E290*(1+$B$9)^(1/12)</f>
        <v/>
      </c>
      <c r="F291" s="15">
        <f>D291+E291</f>
        <v/>
      </c>
      <c r="G291" s="15">
        <f>$B$6</f>
        <v/>
      </c>
      <c r="H291" s="15">
        <f>$B$7</f>
        <v/>
      </c>
      <c r="I291" s="22">
        <f>IF(AND(F291&gt;=G291,D291&gt;=H291),"FI reached","")</f>
        <v/>
      </c>
      <c r="J291" s="22">
        <f>IF(A291=720,"60-year model limit","")</f>
        <v/>
      </c>
    </row>
    <row r="292">
      <c r="A292" s="23" t="n">
        <v>276</v>
      </c>
      <c r="B292" s="24">
        <f>EDATE(TODAY(),A292)</f>
        <v/>
      </c>
      <c r="C292" s="25">
        <f>Inputs!$B$5+A292/12</f>
        <v/>
      </c>
      <c r="D292" s="15">
        <f>D291*(1+$B$8)^(1/12)+$B$10</f>
        <v/>
      </c>
      <c r="E292" s="15">
        <f>E291*(1+$B$9)^(1/12)</f>
        <v/>
      </c>
      <c r="F292" s="15">
        <f>D292+E292</f>
        <v/>
      </c>
      <c r="G292" s="15">
        <f>$B$6</f>
        <v/>
      </c>
      <c r="H292" s="15">
        <f>$B$7</f>
        <v/>
      </c>
      <c r="I292" s="22">
        <f>IF(AND(F292&gt;=G292,D292&gt;=H292),"FI reached","")</f>
        <v/>
      </c>
      <c r="J292" s="22">
        <f>IF(A292=720,"60-year model limit","")</f>
        <v/>
      </c>
    </row>
    <row r="293">
      <c r="A293" s="23" t="n">
        <v>277</v>
      </c>
      <c r="B293" s="24">
        <f>EDATE(TODAY(),A293)</f>
        <v/>
      </c>
      <c r="C293" s="25">
        <f>Inputs!$B$5+A293/12</f>
        <v/>
      </c>
      <c r="D293" s="15">
        <f>D292*(1+$B$8)^(1/12)+$B$10</f>
        <v/>
      </c>
      <c r="E293" s="15">
        <f>E292*(1+$B$9)^(1/12)</f>
        <v/>
      </c>
      <c r="F293" s="15">
        <f>D293+E293</f>
        <v/>
      </c>
      <c r="G293" s="15">
        <f>$B$6</f>
        <v/>
      </c>
      <c r="H293" s="15">
        <f>$B$7</f>
        <v/>
      </c>
      <c r="I293" s="22">
        <f>IF(AND(F293&gt;=G293,D293&gt;=H293),"FI reached","")</f>
        <v/>
      </c>
      <c r="J293" s="22">
        <f>IF(A293=720,"60-year model limit","")</f>
        <v/>
      </c>
    </row>
    <row r="294">
      <c r="A294" s="23" t="n">
        <v>278</v>
      </c>
      <c r="B294" s="24">
        <f>EDATE(TODAY(),A294)</f>
        <v/>
      </c>
      <c r="C294" s="25">
        <f>Inputs!$B$5+A294/12</f>
        <v/>
      </c>
      <c r="D294" s="15">
        <f>D293*(1+$B$8)^(1/12)+$B$10</f>
        <v/>
      </c>
      <c r="E294" s="15">
        <f>E293*(1+$B$9)^(1/12)</f>
        <v/>
      </c>
      <c r="F294" s="15">
        <f>D294+E294</f>
        <v/>
      </c>
      <c r="G294" s="15">
        <f>$B$6</f>
        <v/>
      </c>
      <c r="H294" s="15">
        <f>$B$7</f>
        <v/>
      </c>
      <c r="I294" s="22">
        <f>IF(AND(F294&gt;=G294,D294&gt;=H294),"FI reached","")</f>
        <v/>
      </c>
      <c r="J294" s="22">
        <f>IF(A294=720,"60-year model limit","")</f>
        <v/>
      </c>
    </row>
    <row r="295">
      <c r="A295" s="23" t="n">
        <v>279</v>
      </c>
      <c r="B295" s="24">
        <f>EDATE(TODAY(),A295)</f>
        <v/>
      </c>
      <c r="C295" s="25">
        <f>Inputs!$B$5+A295/12</f>
        <v/>
      </c>
      <c r="D295" s="15">
        <f>D294*(1+$B$8)^(1/12)+$B$10</f>
        <v/>
      </c>
      <c r="E295" s="15">
        <f>E294*(1+$B$9)^(1/12)</f>
        <v/>
      </c>
      <c r="F295" s="15">
        <f>D295+E295</f>
        <v/>
      </c>
      <c r="G295" s="15">
        <f>$B$6</f>
        <v/>
      </c>
      <c r="H295" s="15">
        <f>$B$7</f>
        <v/>
      </c>
      <c r="I295" s="22">
        <f>IF(AND(F295&gt;=G295,D295&gt;=H295),"FI reached","")</f>
        <v/>
      </c>
      <c r="J295" s="22">
        <f>IF(A295=720,"60-year model limit","")</f>
        <v/>
      </c>
    </row>
    <row r="296">
      <c r="A296" s="23" t="n">
        <v>280</v>
      </c>
      <c r="B296" s="24">
        <f>EDATE(TODAY(),A296)</f>
        <v/>
      </c>
      <c r="C296" s="25">
        <f>Inputs!$B$5+A296/12</f>
        <v/>
      </c>
      <c r="D296" s="15">
        <f>D295*(1+$B$8)^(1/12)+$B$10</f>
        <v/>
      </c>
      <c r="E296" s="15">
        <f>E295*(1+$B$9)^(1/12)</f>
        <v/>
      </c>
      <c r="F296" s="15">
        <f>D296+E296</f>
        <v/>
      </c>
      <c r="G296" s="15">
        <f>$B$6</f>
        <v/>
      </c>
      <c r="H296" s="15">
        <f>$B$7</f>
        <v/>
      </c>
      <c r="I296" s="22">
        <f>IF(AND(F296&gt;=G296,D296&gt;=H296),"FI reached","")</f>
        <v/>
      </c>
      <c r="J296" s="22">
        <f>IF(A296=720,"60-year model limit","")</f>
        <v/>
      </c>
    </row>
    <row r="297">
      <c r="A297" s="23" t="n">
        <v>281</v>
      </c>
      <c r="B297" s="24">
        <f>EDATE(TODAY(),A297)</f>
        <v/>
      </c>
      <c r="C297" s="25">
        <f>Inputs!$B$5+A297/12</f>
        <v/>
      </c>
      <c r="D297" s="15">
        <f>D296*(1+$B$8)^(1/12)+$B$10</f>
        <v/>
      </c>
      <c r="E297" s="15">
        <f>E296*(1+$B$9)^(1/12)</f>
        <v/>
      </c>
      <c r="F297" s="15">
        <f>D297+E297</f>
        <v/>
      </c>
      <c r="G297" s="15">
        <f>$B$6</f>
        <v/>
      </c>
      <c r="H297" s="15">
        <f>$B$7</f>
        <v/>
      </c>
      <c r="I297" s="22">
        <f>IF(AND(F297&gt;=G297,D297&gt;=H297),"FI reached","")</f>
        <v/>
      </c>
      <c r="J297" s="22">
        <f>IF(A297=720,"60-year model limit","")</f>
        <v/>
      </c>
    </row>
    <row r="298">
      <c r="A298" s="23" t="n">
        <v>282</v>
      </c>
      <c r="B298" s="24">
        <f>EDATE(TODAY(),A298)</f>
        <v/>
      </c>
      <c r="C298" s="25">
        <f>Inputs!$B$5+A298/12</f>
        <v/>
      </c>
      <c r="D298" s="15">
        <f>D297*(1+$B$8)^(1/12)+$B$10</f>
        <v/>
      </c>
      <c r="E298" s="15">
        <f>E297*(1+$B$9)^(1/12)</f>
        <v/>
      </c>
      <c r="F298" s="15">
        <f>D298+E298</f>
        <v/>
      </c>
      <c r="G298" s="15">
        <f>$B$6</f>
        <v/>
      </c>
      <c r="H298" s="15">
        <f>$B$7</f>
        <v/>
      </c>
      <c r="I298" s="22">
        <f>IF(AND(F298&gt;=G298,D298&gt;=H298),"FI reached","")</f>
        <v/>
      </c>
      <c r="J298" s="22">
        <f>IF(A298=720,"60-year model limit","")</f>
        <v/>
      </c>
    </row>
    <row r="299">
      <c r="A299" s="23" t="n">
        <v>283</v>
      </c>
      <c r="B299" s="24">
        <f>EDATE(TODAY(),A299)</f>
        <v/>
      </c>
      <c r="C299" s="25">
        <f>Inputs!$B$5+A299/12</f>
        <v/>
      </c>
      <c r="D299" s="15">
        <f>D298*(1+$B$8)^(1/12)+$B$10</f>
        <v/>
      </c>
      <c r="E299" s="15">
        <f>E298*(1+$B$9)^(1/12)</f>
        <v/>
      </c>
      <c r="F299" s="15">
        <f>D299+E299</f>
        <v/>
      </c>
      <c r="G299" s="15">
        <f>$B$6</f>
        <v/>
      </c>
      <c r="H299" s="15">
        <f>$B$7</f>
        <v/>
      </c>
      <c r="I299" s="22">
        <f>IF(AND(F299&gt;=G299,D299&gt;=H299),"FI reached","")</f>
        <v/>
      </c>
      <c r="J299" s="22">
        <f>IF(A299=720,"60-year model limit","")</f>
        <v/>
      </c>
    </row>
    <row r="300">
      <c r="A300" s="23" t="n">
        <v>284</v>
      </c>
      <c r="B300" s="24">
        <f>EDATE(TODAY(),A300)</f>
        <v/>
      </c>
      <c r="C300" s="25">
        <f>Inputs!$B$5+A300/12</f>
        <v/>
      </c>
      <c r="D300" s="15">
        <f>D299*(1+$B$8)^(1/12)+$B$10</f>
        <v/>
      </c>
      <c r="E300" s="15">
        <f>E299*(1+$B$9)^(1/12)</f>
        <v/>
      </c>
      <c r="F300" s="15">
        <f>D300+E300</f>
        <v/>
      </c>
      <c r="G300" s="15">
        <f>$B$6</f>
        <v/>
      </c>
      <c r="H300" s="15">
        <f>$B$7</f>
        <v/>
      </c>
      <c r="I300" s="22">
        <f>IF(AND(F300&gt;=G300,D300&gt;=H300),"FI reached","")</f>
        <v/>
      </c>
      <c r="J300" s="22">
        <f>IF(A300=720,"60-year model limit","")</f>
        <v/>
      </c>
    </row>
    <row r="301">
      <c r="A301" s="23" t="n">
        <v>285</v>
      </c>
      <c r="B301" s="24">
        <f>EDATE(TODAY(),A301)</f>
        <v/>
      </c>
      <c r="C301" s="25">
        <f>Inputs!$B$5+A301/12</f>
        <v/>
      </c>
      <c r="D301" s="15">
        <f>D300*(1+$B$8)^(1/12)+$B$10</f>
        <v/>
      </c>
      <c r="E301" s="15">
        <f>E300*(1+$B$9)^(1/12)</f>
        <v/>
      </c>
      <c r="F301" s="15">
        <f>D301+E301</f>
        <v/>
      </c>
      <c r="G301" s="15">
        <f>$B$6</f>
        <v/>
      </c>
      <c r="H301" s="15">
        <f>$B$7</f>
        <v/>
      </c>
      <c r="I301" s="22">
        <f>IF(AND(F301&gt;=G301,D301&gt;=H301),"FI reached","")</f>
        <v/>
      </c>
      <c r="J301" s="22">
        <f>IF(A301=720,"60-year model limit","")</f>
        <v/>
      </c>
    </row>
    <row r="302">
      <c r="A302" s="23" t="n">
        <v>286</v>
      </c>
      <c r="B302" s="24">
        <f>EDATE(TODAY(),A302)</f>
        <v/>
      </c>
      <c r="C302" s="25">
        <f>Inputs!$B$5+A302/12</f>
        <v/>
      </c>
      <c r="D302" s="15">
        <f>D301*(1+$B$8)^(1/12)+$B$10</f>
        <v/>
      </c>
      <c r="E302" s="15">
        <f>E301*(1+$B$9)^(1/12)</f>
        <v/>
      </c>
      <c r="F302" s="15">
        <f>D302+E302</f>
        <v/>
      </c>
      <c r="G302" s="15">
        <f>$B$6</f>
        <v/>
      </c>
      <c r="H302" s="15">
        <f>$B$7</f>
        <v/>
      </c>
      <c r="I302" s="22">
        <f>IF(AND(F302&gt;=G302,D302&gt;=H302),"FI reached","")</f>
        <v/>
      </c>
      <c r="J302" s="22">
        <f>IF(A302=720,"60-year model limit","")</f>
        <v/>
      </c>
    </row>
    <row r="303">
      <c r="A303" s="23" t="n">
        <v>287</v>
      </c>
      <c r="B303" s="24">
        <f>EDATE(TODAY(),A303)</f>
        <v/>
      </c>
      <c r="C303" s="25">
        <f>Inputs!$B$5+A303/12</f>
        <v/>
      </c>
      <c r="D303" s="15">
        <f>D302*(1+$B$8)^(1/12)+$B$10</f>
        <v/>
      </c>
      <c r="E303" s="15">
        <f>E302*(1+$B$9)^(1/12)</f>
        <v/>
      </c>
      <c r="F303" s="15">
        <f>D303+E303</f>
        <v/>
      </c>
      <c r="G303" s="15">
        <f>$B$6</f>
        <v/>
      </c>
      <c r="H303" s="15">
        <f>$B$7</f>
        <v/>
      </c>
      <c r="I303" s="22">
        <f>IF(AND(F303&gt;=G303,D303&gt;=H303),"FI reached","")</f>
        <v/>
      </c>
      <c r="J303" s="22">
        <f>IF(A303=720,"60-year model limit","")</f>
        <v/>
      </c>
    </row>
    <row r="304">
      <c r="A304" s="23" t="n">
        <v>288</v>
      </c>
      <c r="B304" s="24">
        <f>EDATE(TODAY(),A304)</f>
        <v/>
      </c>
      <c r="C304" s="25">
        <f>Inputs!$B$5+A304/12</f>
        <v/>
      </c>
      <c r="D304" s="15">
        <f>D303*(1+$B$8)^(1/12)+$B$10</f>
        <v/>
      </c>
      <c r="E304" s="15">
        <f>E303*(1+$B$9)^(1/12)</f>
        <v/>
      </c>
      <c r="F304" s="15">
        <f>D304+E304</f>
        <v/>
      </c>
      <c r="G304" s="15">
        <f>$B$6</f>
        <v/>
      </c>
      <c r="H304" s="15">
        <f>$B$7</f>
        <v/>
      </c>
      <c r="I304" s="22">
        <f>IF(AND(F304&gt;=G304,D304&gt;=H304),"FI reached","")</f>
        <v/>
      </c>
      <c r="J304" s="22">
        <f>IF(A304=720,"60-year model limit","")</f>
        <v/>
      </c>
    </row>
    <row r="305">
      <c r="A305" s="23" t="n">
        <v>289</v>
      </c>
      <c r="B305" s="24">
        <f>EDATE(TODAY(),A305)</f>
        <v/>
      </c>
      <c r="C305" s="25">
        <f>Inputs!$B$5+A305/12</f>
        <v/>
      </c>
      <c r="D305" s="15">
        <f>D304*(1+$B$8)^(1/12)+$B$10</f>
        <v/>
      </c>
      <c r="E305" s="15">
        <f>E304*(1+$B$9)^(1/12)</f>
        <v/>
      </c>
      <c r="F305" s="15">
        <f>D305+E305</f>
        <v/>
      </c>
      <c r="G305" s="15">
        <f>$B$6</f>
        <v/>
      </c>
      <c r="H305" s="15">
        <f>$B$7</f>
        <v/>
      </c>
      <c r="I305" s="22">
        <f>IF(AND(F305&gt;=G305,D305&gt;=H305),"FI reached","")</f>
        <v/>
      </c>
      <c r="J305" s="22">
        <f>IF(A305=720,"60-year model limit","")</f>
        <v/>
      </c>
    </row>
    <row r="306">
      <c r="A306" s="23" t="n">
        <v>290</v>
      </c>
      <c r="B306" s="24">
        <f>EDATE(TODAY(),A306)</f>
        <v/>
      </c>
      <c r="C306" s="25">
        <f>Inputs!$B$5+A306/12</f>
        <v/>
      </c>
      <c r="D306" s="15">
        <f>D305*(1+$B$8)^(1/12)+$B$10</f>
        <v/>
      </c>
      <c r="E306" s="15">
        <f>E305*(1+$B$9)^(1/12)</f>
        <v/>
      </c>
      <c r="F306" s="15">
        <f>D306+E306</f>
        <v/>
      </c>
      <c r="G306" s="15">
        <f>$B$6</f>
        <v/>
      </c>
      <c r="H306" s="15">
        <f>$B$7</f>
        <v/>
      </c>
      <c r="I306" s="22">
        <f>IF(AND(F306&gt;=G306,D306&gt;=H306),"FI reached","")</f>
        <v/>
      </c>
      <c r="J306" s="22">
        <f>IF(A306=720,"60-year model limit","")</f>
        <v/>
      </c>
    </row>
    <row r="307">
      <c r="A307" s="23" t="n">
        <v>291</v>
      </c>
      <c r="B307" s="24">
        <f>EDATE(TODAY(),A307)</f>
        <v/>
      </c>
      <c r="C307" s="25">
        <f>Inputs!$B$5+A307/12</f>
        <v/>
      </c>
      <c r="D307" s="15">
        <f>D306*(1+$B$8)^(1/12)+$B$10</f>
        <v/>
      </c>
      <c r="E307" s="15">
        <f>E306*(1+$B$9)^(1/12)</f>
        <v/>
      </c>
      <c r="F307" s="15">
        <f>D307+E307</f>
        <v/>
      </c>
      <c r="G307" s="15">
        <f>$B$6</f>
        <v/>
      </c>
      <c r="H307" s="15">
        <f>$B$7</f>
        <v/>
      </c>
      <c r="I307" s="22">
        <f>IF(AND(F307&gt;=G307,D307&gt;=H307),"FI reached","")</f>
        <v/>
      </c>
      <c r="J307" s="22">
        <f>IF(A307=720,"60-year model limit","")</f>
        <v/>
      </c>
    </row>
    <row r="308">
      <c r="A308" s="23" t="n">
        <v>292</v>
      </c>
      <c r="B308" s="24">
        <f>EDATE(TODAY(),A308)</f>
        <v/>
      </c>
      <c r="C308" s="25">
        <f>Inputs!$B$5+A308/12</f>
        <v/>
      </c>
      <c r="D308" s="15">
        <f>D307*(1+$B$8)^(1/12)+$B$10</f>
        <v/>
      </c>
      <c r="E308" s="15">
        <f>E307*(1+$B$9)^(1/12)</f>
        <v/>
      </c>
      <c r="F308" s="15">
        <f>D308+E308</f>
        <v/>
      </c>
      <c r="G308" s="15">
        <f>$B$6</f>
        <v/>
      </c>
      <c r="H308" s="15">
        <f>$B$7</f>
        <v/>
      </c>
      <c r="I308" s="22">
        <f>IF(AND(F308&gt;=G308,D308&gt;=H308),"FI reached","")</f>
        <v/>
      </c>
      <c r="J308" s="22">
        <f>IF(A308=720,"60-year model limit","")</f>
        <v/>
      </c>
    </row>
    <row r="309">
      <c r="A309" s="23" t="n">
        <v>293</v>
      </c>
      <c r="B309" s="24">
        <f>EDATE(TODAY(),A309)</f>
        <v/>
      </c>
      <c r="C309" s="25">
        <f>Inputs!$B$5+A309/12</f>
        <v/>
      </c>
      <c r="D309" s="15">
        <f>D308*(1+$B$8)^(1/12)+$B$10</f>
        <v/>
      </c>
      <c r="E309" s="15">
        <f>E308*(1+$B$9)^(1/12)</f>
        <v/>
      </c>
      <c r="F309" s="15">
        <f>D309+E309</f>
        <v/>
      </c>
      <c r="G309" s="15">
        <f>$B$6</f>
        <v/>
      </c>
      <c r="H309" s="15">
        <f>$B$7</f>
        <v/>
      </c>
      <c r="I309" s="22">
        <f>IF(AND(F309&gt;=G309,D309&gt;=H309),"FI reached","")</f>
        <v/>
      </c>
      <c r="J309" s="22">
        <f>IF(A309=720,"60-year model limit","")</f>
        <v/>
      </c>
    </row>
    <row r="310">
      <c r="A310" s="23" t="n">
        <v>294</v>
      </c>
      <c r="B310" s="24">
        <f>EDATE(TODAY(),A310)</f>
        <v/>
      </c>
      <c r="C310" s="25">
        <f>Inputs!$B$5+A310/12</f>
        <v/>
      </c>
      <c r="D310" s="15">
        <f>D309*(1+$B$8)^(1/12)+$B$10</f>
        <v/>
      </c>
      <c r="E310" s="15">
        <f>E309*(1+$B$9)^(1/12)</f>
        <v/>
      </c>
      <c r="F310" s="15">
        <f>D310+E310</f>
        <v/>
      </c>
      <c r="G310" s="15">
        <f>$B$6</f>
        <v/>
      </c>
      <c r="H310" s="15">
        <f>$B$7</f>
        <v/>
      </c>
      <c r="I310" s="22">
        <f>IF(AND(F310&gt;=G310,D310&gt;=H310),"FI reached","")</f>
        <v/>
      </c>
      <c r="J310" s="22">
        <f>IF(A310=720,"60-year model limit","")</f>
        <v/>
      </c>
    </row>
    <row r="311">
      <c r="A311" s="23" t="n">
        <v>295</v>
      </c>
      <c r="B311" s="24">
        <f>EDATE(TODAY(),A311)</f>
        <v/>
      </c>
      <c r="C311" s="25">
        <f>Inputs!$B$5+A311/12</f>
        <v/>
      </c>
      <c r="D311" s="15">
        <f>D310*(1+$B$8)^(1/12)+$B$10</f>
        <v/>
      </c>
      <c r="E311" s="15">
        <f>E310*(1+$B$9)^(1/12)</f>
        <v/>
      </c>
      <c r="F311" s="15">
        <f>D311+E311</f>
        <v/>
      </c>
      <c r="G311" s="15">
        <f>$B$6</f>
        <v/>
      </c>
      <c r="H311" s="15">
        <f>$B$7</f>
        <v/>
      </c>
      <c r="I311" s="22">
        <f>IF(AND(F311&gt;=G311,D311&gt;=H311),"FI reached","")</f>
        <v/>
      </c>
      <c r="J311" s="22">
        <f>IF(A311=720,"60-year model limit","")</f>
        <v/>
      </c>
    </row>
    <row r="312">
      <c r="A312" s="23" t="n">
        <v>296</v>
      </c>
      <c r="B312" s="24">
        <f>EDATE(TODAY(),A312)</f>
        <v/>
      </c>
      <c r="C312" s="25">
        <f>Inputs!$B$5+A312/12</f>
        <v/>
      </c>
      <c r="D312" s="15">
        <f>D311*(1+$B$8)^(1/12)+$B$10</f>
        <v/>
      </c>
      <c r="E312" s="15">
        <f>E311*(1+$B$9)^(1/12)</f>
        <v/>
      </c>
      <c r="F312" s="15">
        <f>D312+E312</f>
        <v/>
      </c>
      <c r="G312" s="15">
        <f>$B$6</f>
        <v/>
      </c>
      <c r="H312" s="15">
        <f>$B$7</f>
        <v/>
      </c>
      <c r="I312" s="22">
        <f>IF(AND(F312&gt;=G312,D312&gt;=H312),"FI reached","")</f>
        <v/>
      </c>
      <c r="J312" s="22">
        <f>IF(A312=720,"60-year model limit","")</f>
        <v/>
      </c>
    </row>
    <row r="313">
      <c r="A313" s="23" t="n">
        <v>297</v>
      </c>
      <c r="B313" s="24">
        <f>EDATE(TODAY(),A313)</f>
        <v/>
      </c>
      <c r="C313" s="25">
        <f>Inputs!$B$5+A313/12</f>
        <v/>
      </c>
      <c r="D313" s="15">
        <f>D312*(1+$B$8)^(1/12)+$B$10</f>
        <v/>
      </c>
      <c r="E313" s="15">
        <f>E312*(1+$B$9)^(1/12)</f>
        <v/>
      </c>
      <c r="F313" s="15">
        <f>D313+E313</f>
        <v/>
      </c>
      <c r="G313" s="15">
        <f>$B$6</f>
        <v/>
      </c>
      <c r="H313" s="15">
        <f>$B$7</f>
        <v/>
      </c>
      <c r="I313" s="22">
        <f>IF(AND(F313&gt;=G313,D313&gt;=H313),"FI reached","")</f>
        <v/>
      </c>
      <c r="J313" s="22">
        <f>IF(A313=720,"60-year model limit","")</f>
        <v/>
      </c>
    </row>
    <row r="314">
      <c r="A314" s="23" t="n">
        <v>298</v>
      </c>
      <c r="B314" s="24">
        <f>EDATE(TODAY(),A314)</f>
        <v/>
      </c>
      <c r="C314" s="25">
        <f>Inputs!$B$5+A314/12</f>
        <v/>
      </c>
      <c r="D314" s="15">
        <f>D313*(1+$B$8)^(1/12)+$B$10</f>
        <v/>
      </c>
      <c r="E314" s="15">
        <f>E313*(1+$B$9)^(1/12)</f>
        <v/>
      </c>
      <c r="F314" s="15">
        <f>D314+E314</f>
        <v/>
      </c>
      <c r="G314" s="15">
        <f>$B$6</f>
        <v/>
      </c>
      <c r="H314" s="15">
        <f>$B$7</f>
        <v/>
      </c>
      <c r="I314" s="22">
        <f>IF(AND(F314&gt;=G314,D314&gt;=H314),"FI reached","")</f>
        <v/>
      </c>
      <c r="J314" s="22">
        <f>IF(A314=720,"60-year model limit","")</f>
        <v/>
      </c>
    </row>
    <row r="315">
      <c r="A315" s="23" t="n">
        <v>299</v>
      </c>
      <c r="B315" s="24">
        <f>EDATE(TODAY(),A315)</f>
        <v/>
      </c>
      <c r="C315" s="25">
        <f>Inputs!$B$5+A315/12</f>
        <v/>
      </c>
      <c r="D315" s="15">
        <f>D314*(1+$B$8)^(1/12)+$B$10</f>
        <v/>
      </c>
      <c r="E315" s="15">
        <f>E314*(1+$B$9)^(1/12)</f>
        <v/>
      </c>
      <c r="F315" s="15">
        <f>D315+E315</f>
        <v/>
      </c>
      <c r="G315" s="15">
        <f>$B$6</f>
        <v/>
      </c>
      <c r="H315" s="15">
        <f>$B$7</f>
        <v/>
      </c>
      <c r="I315" s="22">
        <f>IF(AND(F315&gt;=G315,D315&gt;=H315),"FI reached","")</f>
        <v/>
      </c>
      <c r="J315" s="22">
        <f>IF(A315=720,"60-year model limit","")</f>
        <v/>
      </c>
    </row>
    <row r="316">
      <c r="A316" s="23" t="n">
        <v>300</v>
      </c>
      <c r="B316" s="24">
        <f>EDATE(TODAY(),A316)</f>
        <v/>
      </c>
      <c r="C316" s="25">
        <f>Inputs!$B$5+A316/12</f>
        <v/>
      </c>
      <c r="D316" s="15">
        <f>D315*(1+$B$8)^(1/12)+$B$10</f>
        <v/>
      </c>
      <c r="E316" s="15">
        <f>E315*(1+$B$9)^(1/12)</f>
        <v/>
      </c>
      <c r="F316" s="15">
        <f>D316+E316</f>
        <v/>
      </c>
      <c r="G316" s="15">
        <f>$B$6</f>
        <v/>
      </c>
      <c r="H316" s="15">
        <f>$B$7</f>
        <v/>
      </c>
      <c r="I316" s="22">
        <f>IF(AND(F316&gt;=G316,D316&gt;=H316),"FI reached","")</f>
        <v/>
      </c>
      <c r="J316" s="22">
        <f>IF(A316=720,"60-year model limit","")</f>
        <v/>
      </c>
    </row>
    <row r="317">
      <c r="A317" s="23" t="n">
        <v>301</v>
      </c>
      <c r="B317" s="24">
        <f>EDATE(TODAY(),A317)</f>
        <v/>
      </c>
      <c r="C317" s="25">
        <f>Inputs!$B$5+A317/12</f>
        <v/>
      </c>
      <c r="D317" s="15">
        <f>D316*(1+$B$8)^(1/12)+$B$10</f>
        <v/>
      </c>
      <c r="E317" s="15">
        <f>E316*(1+$B$9)^(1/12)</f>
        <v/>
      </c>
      <c r="F317" s="15">
        <f>D317+E317</f>
        <v/>
      </c>
      <c r="G317" s="15">
        <f>$B$6</f>
        <v/>
      </c>
      <c r="H317" s="15">
        <f>$B$7</f>
        <v/>
      </c>
      <c r="I317" s="22">
        <f>IF(AND(F317&gt;=G317,D317&gt;=H317),"FI reached","")</f>
        <v/>
      </c>
      <c r="J317" s="22">
        <f>IF(A317=720,"60-year model limit","")</f>
        <v/>
      </c>
    </row>
    <row r="318">
      <c r="A318" s="23" t="n">
        <v>302</v>
      </c>
      <c r="B318" s="24">
        <f>EDATE(TODAY(),A318)</f>
        <v/>
      </c>
      <c r="C318" s="25">
        <f>Inputs!$B$5+A318/12</f>
        <v/>
      </c>
      <c r="D318" s="15">
        <f>D317*(1+$B$8)^(1/12)+$B$10</f>
        <v/>
      </c>
      <c r="E318" s="15">
        <f>E317*(1+$B$9)^(1/12)</f>
        <v/>
      </c>
      <c r="F318" s="15">
        <f>D318+E318</f>
        <v/>
      </c>
      <c r="G318" s="15">
        <f>$B$6</f>
        <v/>
      </c>
      <c r="H318" s="15">
        <f>$B$7</f>
        <v/>
      </c>
      <c r="I318" s="22">
        <f>IF(AND(F318&gt;=G318,D318&gt;=H318),"FI reached","")</f>
        <v/>
      </c>
      <c r="J318" s="22">
        <f>IF(A318=720,"60-year model limit","")</f>
        <v/>
      </c>
    </row>
    <row r="319">
      <c r="A319" s="23" t="n">
        <v>303</v>
      </c>
      <c r="B319" s="24">
        <f>EDATE(TODAY(),A319)</f>
        <v/>
      </c>
      <c r="C319" s="25">
        <f>Inputs!$B$5+A319/12</f>
        <v/>
      </c>
      <c r="D319" s="15">
        <f>D318*(1+$B$8)^(1/12)+$B$10</f>
        <v/>
      </c>
      <c r="E319" s="15">
        <f>E318*(1+$B$9)^(1/12)</f>
        <v/>
      </c>
      <c r="F319" s="15">
        <f>D319+E319</f>
        <v/>
      </c>
      <c r="G319" s="15">
        <f>$B$6</f>
        <v/>
      </c>
      <c r="H319" s="15">
        <f>$B$7</f>
        <v/>
      </c>
      <c r="I319" s="22">
        <f>IF(AND(F319&gt;=G319,D319&gt;=H319),"FI reached","")</f>
        <v/>
      </c>
      <c r="J319" s="22">
        <f>IF(A319=720,"60-year model limit","")</f>
        <v/>
      </c>
    </row>
    <row r="320">
      <c r="A320" s="23" t="n">
        <v>304</v>
      </c>
      <c r="B320" s="24">
        <f>EDATE(TODAY(),A320)</f>
        <v/>
      </c>
      <c r="C320" s="25">
        <f>Inputs!$B$5+A320/12</f>
        <v/>
      </c>
      <c r="D320" s="15">
        <f>D319*(1+$B$8)^(1/12)+$B$10</f>
        <v/>
      </c>
      <c r="E320" s="15">
        <f>E319*(1+$B$9)^(1/12)</f>
        <v/>
      </c>
      <c r="F320" s="15">
        <f>D320+E320</f>
        <v/>
      </c>
      <c r="G320" s="15">
        <f>$B$6</f>
        <v/>
      </c>
      <c r="H320" s="15">
        <f>$B$7</f>
        <v/>
      </c>
      <c r="I320" s="22">
        <f>IF(AND(F320&gt;=G320,D320&gt;=H320),"FI reached","")</f>
        <v/>
      </c>
      <c r="J320" s="22">
        <f>IF(A320=720,"60-year model limit","")</f>
        <v/>
      </c>
    </row>
    <row r="321">
      <c r="A321" s="23" t="n">
        <v>305</v>
      </c>
      <c r="B321" s="24">
        <f>EDATE(TODAY(),A321)</f>
        <v/>
      </c>
      <c r="C321" s="25">
        <f>Inputs!$B$5+A321/12</f>
        <v/>
      </c>
      <c r="D321" s="15">
        <f>D320*(1+$B$8)^(1/12)+$B$10</f>
        <v/>
      </c>
      <c r="E321" s="15">
        <f>E320*(1+$B$9)^(1/12)</f>
        <v/>
      </c>
      <c r="F321" s="15">
        <f>D321+E321</f>
        <v/>
      </c>
      <c r="G321" s="15">
        <f>$B$6</f>
        <v/>
      </c>
      <c r="H321" s="15">
        <f>$B$7</f>
        <v/>
      </c>
      <c r="I321" s="22">
        <f>IF(AND(F321&gt;=G321,D321&gt;=H321),"FI reached","")</f>
        <v/>
      </c>
      <c r="J321" s="22">
        <f>IF(A321=720,"60-year model limit","")</f>
        <v/>
      </c>
    </row>
    <row r="322">
      <c r="A322" s="23" t="n">
        <v>306</v>
      </c>
      <c r="B322" s="24">
        <f>EDATE(TODAY(),A322)</f>
        <v/>
      </c>
      <c r="C322" s="25">
        <f>Inputs!$B$5+A322/12</f>
        <v/>
      </c>
      <c r="D322" s="15">
        <f>D321*(1+$B$8)^(1/12)+$B$10</f>
        <v/>
      </c>
      <c r="E322" s="15">
        <f>E321*(1+$B$9)^(1/12)</f>
        <v/>
      </c>
      <c r="F322" s="15">
        <f>D322+E322</f>
        <v/>
      </c>
      <c r="G322" s="15">
        <f>$B$6</f>
        <v/>
      </c>
      <c r="H322" s="15">
        <f>$B$7</f>
        <v/>
      </c>
      <c r="I322" s="22">
        <f>IF(AND(F322&gt;=G322,D322&gt;=H322),"FI reached","")</f>
        <v/>
      </c>
      <c r="J322" s="22">
        <f>IF(A322=720,"60-year model limit","")</f>
        <v/>
      </c>
    </row>
    <row r="323">
      <c r="A323" s="23" t="n">
        <v>307</v>
      </c>
      <c r="B323" s="24">
        <f>EDATE(TODAY(),A323)</f>
        <v/>
      </c>
      <c r="C323" s="25">
        <f>Inputs!$B$5+A323/12</f>
        <v/>
      </c>
      <c r="D323" s="15">
        <f>D322*(1+$B$8)^(1/12)+$B$10</f>
        <v/>
      </c>
      <c r="E323" s="15">
        <f>E322*(1+$B$9)^(1/12)</f>
        <v/>
      </c>
      <c r="F323" s="15">
        <f>D323+E323</f>
        <v/>
      </c>
      <c r="G323" s="15">
        <f>$B$6</f>
        <v/>
      </c>
      <c r="H323" s="15">
        <f>$B$7</f>
        <v/>
      </c>
      <c r="I323" s="22">
        <f>IF(AND(F323&gt;=G323,D323&gt;=H323),"FI reached","")</f>
        <v/>
      </c>
      <c r="J323" s="22">
        <f>IF(A323=720,"60-year model limit","")</f>
        <v/>
      </c>
    </row>
    <row r="324">
      <c r="A324" s="23" t="n">
        <v>308</v>
      </c>
      <c r="B324" s="24">
        <f>EDATE(TODAY(),A324)</f>
        <v/>
      </c>
      <c r="C324" s="25">
        <f>Inputs!$B$5+A324/12</f>
        <v/>
      </c>
      <c r="D324" s="15">
        <f>D323*(1+$B$8)^(1/12)+$B$10</f>
        <v/>
      </c>
      <c r="E324" s="15">
        <f>E323*(1+$B$9)^(1/12)</f>
        <v/>
      </c>
      <c r="F324" s="15">
        <f>D324+E324</f>
        <v/>
      </c>
      <c r="G324" s="15">
        <f>$B$6</f>
        <v/>
      </c>
      <c r="H324" s="15">
        <f>$B$7</f>
        <v/>
      </c>
      <c r="I324" s="22">
        <f>IF(AND(F324&gt;=G324,D324&gt;=H324),"FI reached","")</f>
        <v/>
      </c>
      <c r="J324" s="22">
        <f>IF(A324=720,"60-year model limit","")</f>
        <v/>
      </c>
    </row>
    <row r="325">
      <c r="A325" s="23" t="n">
        <v>309</v>
      </c>
      <c r="B325" s="24">
        <f>EDATE(TODAY(),A325)</f>
        <v/>
      </c>
      <c r="C325" s="25">
        <f>Inputs!$B$5+A325/12</f>
        <v/>
      </c>
      <c r="D325" s="15">
        <f>D324*(1+$B$8)^(1/12)+$B$10</f>
        <v/>
      </c>
      <c r="E325" s="15">
        <f>E324*(1+$B$9)^(1/12)</f>
        <v/>
      </c>
      <c r="F325" s="15">
        <f>D325+E325</f>
        <v/>
      </c>
      <c r="G325" s="15">
        <f>$B$6</f>
        <v/>
      </c>
      <c r="H325" s="15">
        <f>$B$7</f>
        <v/>
      </c>
      <c r="I325" s="22">
        <f>IF(AND(F325&gt;=G325,D325&gt;=H325),"FI reached","")</f>
        <v/>
      </c>
      <c r="J325" s="22">
        <f>IF(A325=720,"60-year model limit","")</f>
        <v/>
      </c>
    </row>
    <row r="326">
      <c r="A326" s="23" t="n">
        <v>310</v>
      </c>
      <c r="B326" s="24">
        <f>EDATE(TODAY(),A326)</f>
        <v/>
      </c>
      <c r="C326" s="25">
        <f>Inputs!$B$5+A326/12</f>
        <v/>
      </c>
      <c r="D326" s="15">
        <f>D325*(1+$B$8)^(1/12)+$B$10</f>
        <v/>
      </c>
      <c r="E326" s="15">
        <f>E325*(1+$B$9)^(1/12)</f>
        <v/>
      </c>
      <c r="F326" s="15">
        <f>D326+E326</f>
        <v/>
      </c>
      <c r="G326" s="15">
        <f>$B$6</f>
        <v/>
      </c>
      <c r="H326" s="15">
        <f>$B$7</f>
        <v/>
      </c>
      <c r="I326" s="22">
        <f>IF(AND(F326&gt;=G326,D326&gt;=H326),"FI reached","")</f>
        <v/>
      </c>
      <c r="J326" s="22">
        <f>IF(A326=720,"60-year model limit","")</f>
        <v/>
      </c>
    </row>
    <row r="327">
      <c r="A327" s="23" t="n">
        <v>311</v>
      </c>
      <c r="B327" s="24">
        <f>EDATE(TODAY(),A327)</f>
        <v/>
      </c>
      <c r="C327" s="25">
        <f>Inputs!$B$5+A327/12</f>
        <v/>
      </c>
      <c r="D327" s="15">
        <f>D326*(1+$B$8)^(1/12)+$B$10</f>
        <v/>
      </c>
      <c r="E327" s="15">
        <f>E326*(1+$B$9)^(1/12)</f>
        <v/>
      </c>
      <c r="F327" s="15">
        <f>D327+E327</f>
        <v/>
      </c>
      <c r="G327" s="15">
        <f>$B$6</f>
        <v/>
      </c>
      <c r="H327" s="15">
        <f>$B$7</f>
        <v/>
      </c>
      <c r="I327" s="22">
        <f>IF(AND(F327&gt;=G327,D327&gt;=H327),"FI reached","")</f>
        <v/>
      </c>
      <c r="J327" s="22">
        <f>IF(A327=720,"60-year model limit","")</f>
        <v/>
      </c>
    </row>
    <row r="328">
      <c r="A328" s="23" t="n">
        <v>312</v>
      </c>
      <c r="B328" s="24">
        <f>EDATE(TODAY(),A328)</f>
        <v/>
      </c>
      <c r="C328" s="25">
        <f>Inputs!$B$5+A328/12</f>
        <v/>
      </c>
      <c r="D328" s="15">
        <f>D327*(1+$B$8)^(1/12)+$B$10</f>
        <v/>
      </c>
      <c r="E328" s="15">
        <f>E327*(1+$B$9)^(1/12)</f>
        <v/>
      </c>
      <c r="F328" s="15">
        <f>D328+E328</f>
        <v/>
      </c>
      <c r="G328" s="15">
        <f>$B$6</f>
        <v/>
      </c>
      <c r="H328" s="15">
        <f>$B$7</f>
        <v/>
      </c>
      <c r="I328" s="22">
        <f>IF(AND(F328&gt;=G328,D328&gt;=H328),"FI reached","")</f>
        <v/>
      </c>
      <c r="J328" s="22">
        <f>IF(A328=720,"60-year model limit","")</f>
        <v/>
      </c>
    </row>
    <row r="329">
      <c r="A329" s="23" t="n">
        <v>313</v>
      </c>
      <c r="B329" s="24">
        <f>EDATE(TODAY(),A329)</f>
        <v/>
      </c>
      <c r="C329" s="25">
        <f>Inputs!$B$5+A329/12</f>
        <v/>
      </c>
      <c r="D329" s="15">
        <f>D328*(1+$B$8)^(1/12)+$B$10</f>
        <v/>
      </c>
      <c r="E329" s="15">
        <f>E328*(1+$B$9)^(1/12)</f>
        <v/>
      </c>
      <c r="F329" s="15">
        <f>D329+E329</f>
        <v/>
      </c>
      <c r="G329" s="15">
        <f>$B$6</f>
        <v/>
      </c>
      <c r="H329" s="15">
        <f>$B$7</f>
        <v/>
      </c>
      <c r="I329" s="22">
        <f>IF(AND(F329&gt;=G329,D329&gt;=H329),"FI reached","")</f>
        <v/>
      </c>
      <c r="J329" s="22">
        <f>IF(A329=720,"60-year model limit","")</f>
        <v/>
      </c>
    </row>
    <row r="330">
      <c r="A330" s="23" t="n">
        <v>314</v>
      </c>
      <c r="B330" s="24">
        <f>EDATE(TODAY(),A330)</f>
        <v/>
      </c>
      <c r="C330" s="25">
        <f>Inputs!$B$5+A330/12</f>
        <v/>
      </c>
      <c r="D330" s="15">
        <f>D329*(1+$B$8)^(1/12)+$B$10</f>
        <v/>
      </c>
      <c r="E330" s="15">
        <f>E329*(1+$B$9)^(1/12)</f>
        <v/>
      </c>
      <c r="F330" s="15">
        <f>D330+E330</f>
        <v/>
      </c>
      <c r="G330" s="15">
        <f>$B$6</f>
        <v/>
      </c>
      <c r="H330" s="15">
        <f>$B$7</f>
        <v/>
      </c>
      <c r="I330" s="22">
        <f>IF(AND(F330&gt;=G330,D330&gt;=H330),"FI reached","")</f>
        <v/>
      </c>
      <c r="J330" s="22">
        <f>IF(A330=720,"60-year model limit","")</f>
        <v/>
      </c>
    </row>
    <row r="331">
      <c r="A331" s="23" t="n">
        <v>315</v>
      </c>
      <c r="B331" s="24">
        <f>EDATE(TODAY(),A331)</f>
        <v/>
      </c>
      <c r="C331" s="25">
        <f>Inputs!$B$5+A331/12</f>
        <v/>
      </c>
      <c r="D331" s="15">
        <f>D330*(1+$B$8)^(1/12)+$B$10</f>
        <v/>
      </c>
      <c r="E331" s="15">
        <f>E330*(1+$B$9)^(1/12)</f>
        <v/>
      </c>
      <c r="F331" s="15">
        <f>D331+E331</f>
        <v/>
      </c>
      <c r="G331" s="15">
        <f>$B$6</f>
        <v/>
      </c>
      <c r="H331" s="15">
        <f>$B$7</f>
        <v/>
      </c>
      <c r="I331" s="22">
        <f>IF(AND(F331&gt;=G331,D331&gt;=H331),"FI reached","")</f>
        <v/>
      </c>
      <c r="J331" s="22">
        <f>IF(A331=720,"60-year model limit","")</f>
        <v/>
      </c>
    </row>
    <row r="332">
      <c r="A332" s="23" t="n">
        <v>316</v>
      </c>
      <c r="B332" s="24">
        <f>EDATE(TODAY(),A332)</f>
        <v/>
      </c>
      <c r="C332" s="25">
        <f>Inputs!$B$5+A332/12</f>
        <v/>
      </c>
      <c r="D332" s="15">
        <f>D331*(1+$B$8)^(1/12)+$B$10</f>
        <v/>
      </c>
      <c r="E332" s="15">
        <f>E331*(1+$B$9)^(1/12)</f>
        <v/>
      </c>
      <c r="F332" s="15">
        <f>D332+E332</f>
        <v/>
      </c>
      <c r="G332" s="15">
        <f>$B$6</f>
        <v/>
      </c>
      <c r="H332" s="15">
        <f>$B$7</f>
        <v/>
      </c>
      <c r="I332" s="22">
        <f>IF(AND(F332&gt;=G332,D332&gt;=H332),"FI reached","")</f>
        <v/>
      </c>
      <c r="J332" s="22">
        <f>IF(A332=720,"60-year model limit","")</f>
        <v/>
      </c>
    </row>
    <row r="333">
      <c r="A333" s="23" t="n">
        <v>317</v>
      </c>
      <c r="B333" s="24">
        <f>EDATE(TODAY(),A333)</f>
        <v/>
      </c>
      <c r="C333" s="25">
        <f>Inputs!$B$5+A333/12</f>
        <v/>
      </c>
      <c r="D333" s="15">
        <f>D332*(1+$B$8)^(1/12)+$B$10</f>
        <v/>
      </c>
      <c r="E333" s="15">
        <f>E332*(1+$B$9)^(1/12)</f>
        <v/>
      </c>
      <c r="F333" s="15">
        <f>D333+E333</f>
        <v/>
      </c>
      <c r="G333" s="15">
        <f>$B$6</f>
        <v/>
      </c>
      <c r="H333" s="15">
        <f>$B$7</f>
        <v/>
      </c>
      <c r="I333" s="22">
        <f>IF(AND(F333&gt;=G333,D333&gt;=H333),"FI reached","")</f>
        <v/>
      </c>
      <c r="J333" s="22">
        <f>IF(A333=720,"60-year model limit","")</f>
        <v/>
      </c>
    </row>
    <row r="334">
      <c r="A334" s="23" t="n">
        <v>318</v>
      </c>
      <c r="B334" s="24">
        <f>EDATE(TODAY(),A334)</f>
        <v/>
      </c>
      <c r="C334" s="25">
        <f>Inputs!$B$5+A334/12</f>
        <v/>
      </c>
      <c r="D334" s="15">
        <f>D333*(1+$B$8)^(1/12)+$B$10</f>
        <v/>
      </c>
      <c r="E334" s="15">
        <f>E333*(1+$B$9)^(1/12)</f>
        <v/>
      </c>
      <c r="F334" s="15">
        <f>D334+E334</f>
        <v/>
      </c>
      <c r="G334" s="15">
        <f>$B$6</f>
        <v/>
      </c>
      <c r="H334" s="15">
        <f>$B$7</f>
        <v/>
      </c>
      <c r="I334" s="22">
        <f>IF(AND(F334&gt;=G334,D334&gt;=H334),"FI reached","")</f>
        <v/>
      </c>
      <c r="J334" s="22">
        <f>IF(A334=720,"60-year model limit","")</f>
        <v/>
      </c>
    </row>
    <row r="335">
      <c r="A335" s="23" t="n">
        <v>319</v>
      </c>
      <c r="B335" s="24">
        <f>EDATE(TODAY(),A335)</f>
        <v/>
      </c>
      <c r="C335" s="25">
        <f>Inputs!$B$5+A335/12</f>
        <v/>
      </c>
      <c r="D335" s="15">
        <f>D334*(1+$B$8)^(1/12)+$B$10</f>
        <v/>
      </c>
      <c r="E335" s="15">
        <f>E334*(1+$B$9)^(1/12)</f>
        <v/>
      </c>
      <c r="F335" s="15">
        <f>D335+E335</f>
        <v/>
      </c>
      <c r="G335" s="15">
        <f>$B$6</f>
        <v/>
      </c>
      <c r="H335" s="15">
        <f>$B$7</f>
        <v/>
      </c>
      <c r="I335" s="22">
        <f>IF(AND(F335&gt;=G335,D335&gt;=H335),"FI reached","")</f>
        <v/>
      </c>
      <c r="J335" s="22">
        <f>IF(A335=720,"60-year model limit","")</f>
        <v/>
      </c>
    </row>
    <row r="336">
      <c r="A336" s="23" t="n">
        <v>320</v>
      </c>
      <c r="B336" s="24">
        <f>EDATE(TODAY(),A336)</f>
        <v/>
      </c>
      <c r="C336" s="25">
        <f>Inputs!$B$5+A336/12</f>
        <v/>
      </c>
      <c r="D336" s="15">
        <f>D335*(1+$B$8)^(1/12)+$B$10</f>
        <v/>
      </c>
      <c r="E336" s="15">
        <f>E335*(1+$B$9)^(1/12)</f>
        <v/>
      </c>
      <c r="F336" s="15">
        <f>D336+E336</f>
        <v/>
      </c>
      <c r="G336" s="15">
        <f>$B$6</f>
        <v/>
      </c>
      <c r="H336" s="15">
        <f>$B$7</f>
        <v/>
      </c>
      <c r="I336" s="22">
        <f>IF(AND(F336&gt;=G336,D336&gt;=H336),"FI reached","")</f>
        <v/>
      </c>
      <c r="J336" s="22">
        <f>IF(A336=720,"60-year model limit","")</f>
        <v/>
      </c>
    </row>
    <row r="337">
      <c r="A337" s="23" t="n">
        <v>321</v>
      </c>
      <c r="B337" s="24">
        <f>EDATE(TODAY(),A337)</f>
        <v/>
      </c>
      <c r="C337" s="25">
        <f>Inputs!$B$5+A337/12</f>
        <v/>
      </c>
      <c r="D337" s="15">
        <f>D336*(1+$B$8)^(1/12)+$B$10</f>
        <v/>
      </c>
      <c r="E337" s="15">
        <f>E336*(1+$B$9)^(1/12)</f>
        <v/>
      </c>
      <c r="F337" s="15">
        <f>D337+E337</f>
        <v/>
      </c>
      <c r="G337" s="15">
        <f>$B$6</f>
        <v/>
      </c>
      <c r="H337" s="15">
        <f>$B$7</f>
        <v/>
      </c>
      <c r="I337" s="22">
        <f>IF(AND(F337&gt;=G337,D337&gt;=H337),"FI reached","")</f>
        <v/>
      </c>
      <c r="J337" s="22">
        <f>IF(A337=720,"60-year model limit","")</f>
        <v/>
      </c>
    </row>
    <row r="338">
      <c r="A338" s="23" t="n">
        <v>322</v>
      </c>
      <c r="B338" s="24">
        <f>EDATE(TODAY(),A338)</f>
        <v/>
      </c>
      <c r="C338" s="25">
        <f>Inputs!$B$5+A338/12</f>
        <v/>
      </c>
      <c r="D338" s="15">
        <f>D337*(1+$B$8)^(1/12)+$B$10</f>
        <v/>
      </c>
      <c r="E338" s="15">
        <f>E337*(1+$B$9)^(1/12)</f>
        <v/>
      </c>
      <c r="F338" s="15">
        <f>D338+E338</f>
        <v/>
      </c>
      <c r="G338" s="15">
        <f>$B$6</f>
        <v/>
      </c>
      <c r="H338" s="15">
        <f>$B$7</f>
        <v/>
      </c>
      <c r="I338" s="22">
        <f>IF(AND(F338&gt;=G338,D338&gt;=H338),"FI reached","")</f>
        <v/>
      </c>
      <c r="J338" s="22">
        <f>IF(A338=720,"60-year model limit","")</f>
        <v/>
      </c>
    </row>
    <row r="339">
      <c r="A339" s="23" t="n">
        <v>323</v>
      </c>
      <c r="B339" s="24">
        <f>EDATE(TODAY(),A339)</f>
        <v/>
      </c>
      <c r="C339" s="25">
        <f>Inputs!$B$5+A339/12</f>
        <v/>
      </c>
      <c r="D339" s="15">
        <f>D338*(1+$B$8)^(1/12)+$B$10</f>
        <v/>
      </c>
      <c r="E339" s="15">
        <f>E338*(1+$B$9)^(1/12)</f>
        <v/>
      </c>
      <c r="F339" s="15">
        <f>D339+E339</f>
        <v/>
      </c>
      <c r="G339" s="15">
        <f>$B$6</f>
        <v/>
      </c>
      <c r="H339" s="15">
        <f>$B$7</f>
        <v/>
      </c>
      <c r="I339" s="22">
        <f>IF(AND(F339&gt;=G339,D339&gt;=H339),"FI reached","")</f>
        <v/>
      </c>
      <c r="J339" s="22">
        <f>IF(A339=720,"60-year model limit","")</f>
        <v/>
      </c>
    </row>
    <row r="340">
      <c r="A340" s="23" t="n">
        <v>324</v>
      </c>
      <c r="B340" s="24">
        <f>EDATE(TODAY(),A340)</f>
        <v/>
      </c>
      <c r="C340" s="25">
        <f>Inputs!$B$5+A340/12</f>
        <v/>
      </c>
      <c r="D340" s="15">
        <f>D339*(1+$B$8)^(1/12)+$B$10</f>
        <v/>
      </c>
      <c r="E340" s="15">
        <f>E339*(1+$B$9)^(1/12)</f>
        <v/>
      </c>
      <c r="F340" s="15">
        <f>D340+E340</f>
        <v/>
      </c>
      <c r="G340" s="15">
        <f>$B$6</f>
        <v/>
      </c>
      <c r="H340" s="15">
        <f>$B$7</f>
        <v/>
      </c>
      <c r="I340" s="22">
        <f>IF(AND(F340&gt;=G340,D340&gt;=H340),"FI reached","")</f>
        <v/>
      </c>
      <c r="J340" s="22">
        <f>IF(A340=720,"60-year model limit","")</f>
        <v/>
      </c>
    </row>
    <row r="341">
      <c r="A341" s="23" t="n">
        <v>325</v>
      </c>
      <c r="B341" s="24">
        <f>EDATE(TODAY(),A341)</f>
        <v/>
      </c>
      <c r="C341" s="25">
        <f>Inputs!$B$5+A341/12</f>
        <v/>
      </c>
      <c r="D341" s="15">
        <f>D340*(1+$B$8)^(1/12)+$B$10</f>
        <v/>
      </c>
      <c r="E341" s="15">
        <f>E340*(1+$B$9)^(1/12)</f>
        <v/>
      </c>
      <c r="F341" s="15">
        <f>D341+E341</f>
        <v/>
      </c>
      <c r="G341" s="15">
        <f>$B$6</f>
        <v/>
      </c>
      <c r="H341" s="15">
        <f>$B$7</f>
        <v/>
      </c>
      <c r="I341" s="22">
        <f>IF(AND(F341&gt;=G341,D341&gt;=H341),"FI reached","")</f>
        <v/>
      </c>
      <c r="J341" s="22">
        <f>IF(A341=720,"60-year model limit","")</f>
        <v/>
      </c>
    </row>
    <row r="342">
      <c r="A342" s="23" t="n">
        <v>326</v>
      </c>
      <c r="B342" s="24">
        <f>EDATE(TODAY(),A342)</f>
        <v/>
      </c>
      <c r="C342" s="25">
        <f>Inputs!$B$5+A342/12</f>
        <v/>
      </c>
      <c r="D342" s="15">
        <f>D341*(1+$B$8)^(1/12)+$B$10</f>
        <v/>
      </c>
      <c r="E342" s="15">
        <f>E341*(1+$B$9)^(1/12)</f>
        <v/>
      </c>
      <c r="F342" s="15">
        <f>D342+E342</f>
        <v/>
      </c>
      <c r="G342" s="15">
        <f>$B$6</f>
        <v/>
      </c>
      <c r="H342" s="15">
        <f>$B$7</f>
        <v/>
      </c>
      <c r="I342" s="22">
        <f>IF(AND(F342&gt;=G342,D342&gt;=H342),"FI reached","")</f>
        <v/>
      </c>
      <c r="J342" s="22">
        <f>IF(A342=720,"60-year model limit","")</f>
        <v/>
      </c>
    </row>
    <row r="343">
      <c r="A343" s="23" t="n">
        <v>327</v>
      </c>
      <c r="B343" s="24">
        <f>EDATE(TODAY(),A343)</f>
        <v/>
      </c>
      <c r="C343" s="25">
        <f>Inputs!$B$5+A343/12</f>
        <v/>
      </c>
      <c r="D343" s="15">
        <f>D342*(1+$B$8)^(1/12)+$B$10</f>
        <v/>
      </c>
      <c r="E343" s="15">
        <f>E342*(1+$B$9)^(1/12)</f>
        <v/>
      </c>
      <c r="F343" s="15">
        <f>D343+E343</f>
        <v/>
      </c>
      <c r="G343" s="15">
        <f>$B$6</f>
        <v/>
      </c>
      <c r="H343" s="15">
        <f>$B$7</f>
        <v/>
      </c>
      <c r="I343" s="22">
        <f>IF(AND(F343&gt;=G343,D343&gt;=H343),"FI reached","")</f>
        <v/>
      </c>
      <c r="J343" s="22">
        <f>IF(A343=720,"60-year model limit","")</f>
        <v/>
      </c>
    </row>
    <row r="344">
      <c r="A344" s="23" t="n">
        <v>328</v>
      </c>
      <c r="B344" s="24">
        <f>EDATE(TODAY(),A344)</f>
        <v/>
      </c>
      <c r="C344" s="25">
        <f>Inputs!$B$5+A344/12</f>
        <v/>
      </c>
      <c r="D344" s="15">
        <f>D343*(1+$B$8)^(1/12)+$B$10</f>
        <v/>
      </c>
      <c r="E344" s="15">
        <f>E343*(1+$B$9)^(1/12)</f>
        <v/>
      </c>
      <c r="F344" s="15">
        <f>D344+E344</f>
        <v/>
      </c>
      <c r="G344" s="15">
        <f>$B$6</f>
        <v/>
      </c>
      <c r="H344" s="15">
        <f>$B$7</f>
        <v/>
      </c>
      <c r="I344" s="22">
        <f>IF(AND(F344&gt;=G344,D344&gt;=H344),"FI reached","")</f>
        <v/>
      </c>
      <c r="J344" s="22">
        <f>IF(A344=720,"60-year model limit","")</f>
        <v/>
      </c>
    </row>
    <row r="345">
      <c r="A345" s="23" t="n">
        <v>329</v>
      </c>
      <c r="B345" s="24">
        <f>EDATE(TODAY(),A345)</f>
        <v/>
      </c>
      <c r="C345" s="25">
        <f>Inputs!$B$5+A345/12</f>
        <v/>
      </c>
      <c r="D345" s="15">
        <f>D344*(1+$B$8)^(1/12)+$B$10</f>
        <v/>
      </c>
      <c r="E345" s="15">
        <f>E344*(1+$B$9)^(1/12)</f>
        <v/>
      </c>
      <c r="F345" s="15">
        <f>D345+E345</f>
        <v/>
      </c>
      <c r="G345" s="15">
        <f>$B$6</f>
        <v/>
      </c>
      <c r="H345" s="15">
        <f>$B$7</f>
        <v/>
      </c>
      <c r="I345" s="22">
        <f>IF(AND(F345&gt;=G345,D345&gt;=H345),"FI reached","")</f>
        <v/>
      </c>
      <c r="J345" s="22">
        <f>IF(A345=720,"60-year model limit","")</f>
        <v/>
      </c>
    </row>
    <row r="346">
      <c r="A346" s="23" t="n">
        <v>330</v>
      </c>
      <c r="B346" s="24">
        <f>EDATE(TODAY(),A346)</f>
        <v/>
      </c>
      <c r="C346" s="25">
        <f>Inputs!$B$5+A346/12</f>
        <v/>
      </c>
      <c r="D346" s="15">
        <f>D345*(1+$B$8)^(1/12)+$B$10</f>
        <v/>
      </c>
      <c r="E346" s="15">
        <f>E345*(1+$B$9)^(1/12)</f>
        <v/>
      </c>
      <c r="F346" s="15">
        <f>D346+E346</f>
        <v/>
      </c>
      <c r="G346" s="15">
        <f>$B$6</f>
        <v/>
      </c>
      <c r="H346" s="15">
        <f>$B$7</f>
        <v/>
      </c>
      <c r="I346" s="22">
        <f>IF(AND(F346&gt;=G346,D346&gt;=H346),"FI reached","")</f>
        <v/>
      </c>
      <c r="J346" s="22">
        <f>IF(A346=720,"60-year model limit","")</f>
        <v/>
      </c>
    </row>
    <row r="347">
      <c r="A347" s="23" t="n">
        <v>331</v>
      </c>
      <c r="B347" s="24">
        <f>EDATE(TODAY(),A347)</f>
        <v/>
      </c>
      <c r="C347" s="25">
        <f>Inputs!$B$5+A347/12</f>
        <v/>
      </c>
      <c r="D347" s="15">
        <f>D346*(1+$B$8)^(1/12)+$B$10</f>
        <v/>
      </c>
      <c r="E347" s="15">
        <f>E346*(1+$B$9)^(1/12)</f>
        <v/>
      </c>
      <c r="F347" s="15">
        <f>D347+E347</f>
        <v/>
      </c>
      <c r="G347" s="15">
        <f>$B$6</f>
        <v/>
      </c>
      <c r="H347" s="15">
        <f>$B$7</f>
        <v/>
      </c>
      <c r="I347" s="22">
        <f>IF(AND(F347&gt;=G347,D347&gt;=H347),"FI reached","")</f>
        <v/>
      </c>
      <c r="J347" s="22">
        <f>IF(A347=720,"60-year model limit","")</f>
        <v/>
      </c>
    </row>
    <row r="348">
      <c r="A348" s="23" t="n">
        <v>332</v>
      </c>
      <c r="B348" s="24">
        <f>EDATE(TODAY(),A348)</f>
        <v/>
      </c>
      <c r="C348" s="25">
        <f>Inputs!$B$5+A348/12</f>
        <v/>
      </c>
      <c r="D348" s="15">
        <f>D347*(1+$B$8)^(1/12)+$B$10</f>
        <v/>
      </c>
      <c r="E348" s="15">
        <f>E347*(1+$B$9)^(1/12)</f>
        <v/>
      </c>
      <c r="F348" s="15">
        <f>D348+E348</f>
        <v/>
      </c>
      <c r="G348" s="15">
        <f>$B$6</f>
        <v/>
      </c>
      <c r="H348" s="15">
        <f>$B$7</f>
        <v/>
      </c>
      <c r="I348" s="22">
        <f>IF(AND(F348&gt;=G348,D348&gt;=H348),"FI reached","")</f>
        <v/>
      </c>
      <c r="J348" s="22">
        <f>IF(A348=720,"60-year model limit","")</f>
        <v/>
      </c>
    </row>
    <row r="349">
      <c r="A349" s="23" t="n">
        <v>333</v>
      </c>
      <c r="B349" s="24">
        <f>EDATE(TODAY(),A349)</f>
        <v/>
      </c>
      <c r="C349" s="25">
        <f>Inputs!$B$5+A349/12</f>
        <v/>
      </c>
      <c r="D349" s="15">
        <f>D348*(1+$B$8)^(1/12)+$B$10</f>
        <v/>
      </c>
      <c r="E349" s="15">
        <f>E348*(1+$B$9)^(1/12)</f>
        <v/>
      </c>
      <c r="F349" s="15">
        <f>D349+E349</f>
        <v/>
      </c>
      <c r="G349" s="15">
        <f>$B$6</f>
        <v/>
      </c>
      <c r="H349" s="15">
        <f>$B$7</f>
        <v/>
      </c>
      <c r="I349" s="22">
        <f>IF(AND(F349&gt;=G349,D349&gt;=H349),"FI reached","")</f>
        <v/>
      </c>
      <c r="J349" s="22">
        <f>IF(A349=720,"60-year model limit","")</f>
        <v/>
      </c>
    </row>
    <row r="350">
      <c r="A350" s="23" t="n">
        <v>334</v>
      </c>
      <c r="B350" s="24">
        <f>EDATE(TODAY(),A350)</f>
        <v/>
      </c>
      <c r="C350" s="25">
        <f>Inputs!$B$5+A350/12</f>
        <v/>
      </c>
      <c r="D350" s="15">
        <f>D349*(1+$B$8)^(1/12)+$B$10</f>
        <v/>
      </c>
      <c r="E350" s="15">
        <f>E349*(1+$B$9)^(1/12)</f>
        <v/>
      </c>
      <c r="F350" s="15">
        <f>D350+E350</f>
        <v/>
      </c>
      <c r="G350" s="15">
        <f>$B$6</f>
        <v/>
      </c>
      <c r="H350" s="15">
        <f>$B$7</f>
        <v/>
      </c>
      <c r="I350" s="22">
        <f>IF(AND(F350&gt;=G350,D350&gt;=H350),"FI reached","")</f>
        <v/>
      </c>
      <c r="J350" s="22">
        <f>IF(A350=720,"60-year model limit","")</f>
        <v/>
      </c>
    </row>
    <row r="351">
      <c r="A351" s="23" t="n">
        <v>335</v>
      </c>
      <c r="B351" s="24">
        <f>EDATE(TODAY(),A351)</f>
        <v/>
      </c>
      <c r="C351" s="25">
        <f>Inputs!$B$5+A351/12</f>
        <v/>
      </c>
      <c r="D351" s="15">
        <f>D350*(1+$B$8)^(1/12)+$B$10</f>
        <v/>
      </c>
      <c r="E351" s="15">
        <f>E350*(1+$B$9)^(1/12)</f>
        <v/>
      </c>
      <c r="F351" s="15">
        <f>D351+E351</f>
        <v/>
      </c>
      <c r="G351" s="15">
        <f>$B$6</f>
        <v/>
      </c>
      <c r="H351" s="15">
        <f>$B$7</f>
        <v/>
      </c>
      <c r="I351" s="22">
        <f>IF(AND(F351&gt;=G351,D351&gt;=H351),"FI reached","")</f>
        <v/>
      </c>
      <c r="J351" s="22">
        <f>IF(A351=720,"60-year model limit","")</f>
        <v/>
      </c>
    </row>
    <row r="352">
      <c r="A352" s="23" t="n">
        <v>336</v>
      </c>
      <c r="B352" s="24">
        <f>EDATE(TODAY(),A352)</f>
        <v/>
      </c>
      <c r="C352" s="25">
        <f>Inputs!$B$5+A352/12</f>
        <v/>
      </c>
      <c r="D352" s="15">
        <f>D351*(1+$B$8)^(1/12)+$B$10</f>
        <v/>
      </c>
      <c r="E352" s="15">
        <f>E351*(1+$B$9)^(1/12)</f>
        <v/>
      </c>
      <c r="F352" s="15">
        <f>D352+E352</f>
        <v/>
      </c>
      <c r="G352" s="15">
        <f>$B$6</f>
        <v/>
      </c>
      <c r="H352" s="15">
        <f>$B$7</f>
        <v/>
      </c>
      <c r="I352" s="22">
        <f>IF(AND(F352&gt;=G352,D352&gt;=H352),"FI reached","")</f>
        <v/>
      </c>
      <c r="J352" s="22">
        <f>IF(A352=720,"60-year model limit","")</f>
        <v/>
      </c>
    </row>
    <row r="353">
      <c r="A353" s="23" t="n">
        <v>337</v>
      </c>
      <c r="B353" s="24">
        <f>EDATE(TODAY(),A353)</f>
        <v/>
      </c>
      <c r="C353" s="25">
        <f>Inputs!$B$5+A353/12</f>
        <v/>
      </c>
      <c r="D353" s="15">
        <f>D352*(1+$B$8)^(1/12)+$B$10</f>
        <v/>
      </c>
      <c r="E353" s="15">
        <f>E352*(1+$B$9)^(1/12)</f>
        <v/>
      </c>
      <c r="F353" s="15">
        <f>D353+E353</f>
        <v/>
      </c>
      <c r="G353" s="15">
        <f>$B$6</f>
        <v/>
      </c>
      <c r="H353" s="15">
        <f>$B$7</f>
        <v/>
      </c>
      <c r="I353" s="22">
        <f>IF(AND(F353&gt;=G353,D353&gt;=H353),"FI reached","")</f>
        <v/>
      </c>
      <c r="J353" s="22">
        <f>IF(A353=720,"60-year model limit","")</f>
        <v/>
      </c>
    </row>
    <row r="354">
      <c r="A354" s="23" t="n">
        <v>338</v>
      </c>
      <c r="B354" s="24">
        <f>EDATE(TODAY(),A354)</f>
        <v/>
      </c>
      <c r="C354" s="25">
        <f>Inputs!$B$5+A354/12</f>
        <v/>
      </c>
      <c r="D354" s="15">
        <f>D353*(1+$B$8)^(1/12)+$B$10</f>
        <v/>
      </c>
      <c r="E354" s="15">
        <f>E353*(1+$B$9)^(1/12)</f>
        <v/>
      </c>
      <c r="F354" s="15">
        <f>D354+E354</f>
        <v/>
      </c>
      <c r="G354" s="15">
        <f>$B$6</f>
        <v/>
      </c>
      <c r="H354" s="15">
        <f>$B$7</f>
        <v/>
      </c>
      <c r="I354" s="22">
        <f>IF(AND(F354&gt;=G354,D354&gt;=H354),"FI reached","")</f>
        <v/>
      </c>
      <c r="J354" s="22">
        <f>IF(A354=720,"60-year model limit","")</f>
        <v/>
      </c>
    </row>
    <row r="355">
      <c r="A355" s="23" t="n">
        <v>339</v>
      </c>
      <c r="B355" s="24">
        <f>EDATE(TODAY(),A355)</f>
        <v/>
      </c>
      <c r="C355" s="25">
        <f>Inputs!$B$5+A355/12</f>
        <v/>
      </c>
      <c r="D355" s="15">
        <f>D354*(1+$B$8)^(1/12)+$B$10</f>
        <v/>
      </c>
      <c r="E355" s="15">
        <f>E354*(1+$B$9)^(1/12)</f>
        <v/>
      </c>
      <c r="F355" s="15">
        <f>D355+E355</f>
        <v/>
      </c>
      <c r="G355" s="15">
        <f>$B$6</f>
        <v/>
      </c>
      <c r="H355" s="15">
        <f>$B$7</f>
        <v/>
      </c>
      <c r="I355" s="22">
        <f>IF(AND(F355&gt;=G355,D355&gt;=H355),"FI reached","")</f>
        <v/>
      </c>
      <c r="J355" s="22">
        <f>IF(A355=720,"60-year model limit","")</f>
        <v/>
      </c>
    </row>
    <row r="356">
      <c r="A356" s="23" t="n">
        <v>340</v>
      </c>
      <c r="B356" s="24">
        <f>EDATE(TODAY(),A356)</f>
        <v/>
      </c>
      <c r="C356" s="25">
        <f>Inputs!$B$5+A356/12</f>
        <v/>
      </c>
      <c r="D356" s="15">
        <f>D355*(1+$B$8)^(1/12)+$B$10</f>
        <v/>
      </c>
      <c r="E356" s="15">
        <f>E355*(1+$B$9)^(1/12)</f>
        <v/>
      </c>
      <c r="F356" s="15">
        <f>D356+E356</f>
        <v/>
      </c>
      <c r="G356" s="15">
        <f>$B$6</f>
        <v/>
      </c>
      <c r="H356" s="15">
        <f>$B$7</f>
        <v/>
      </c>
      <c r="I356" s="22">
        <f>IF(AND(F356&gt;=G356,D356&gt;=H356),"FI reached","")</f>
        <v/>
      </c>
      <c r="J356" s="22">
        <f>IF(A356=720,"60-year model limit","")</f>
        <v/>
      </c>
    </row>
    <row r="357">
      <c r="A357" s="23" t="n">
        <v>341</v>
      </c>
      <c r="B357" s="24">
        <f>EDATE(TODAY(),A357)</f>
        <v/>
      </c>
      <c r="C357" s="25">
        <f>Inputs!$B$5+A357/12</f>
        <v/>
      </c>
      <c r="D357" s="15">
        <f>D356*(1+$B$8)^(1/12)+$B$10</f>
        <v/>
      </c>
      <c r="E357" s="15">
        <f>E356*(1+$B$9)^(1/12)</f>
        <v/>
      </c>
      <c r="F357" s="15">
        <f>D357+E357</f>
        <v/>
      </c>
      <c r="G357" s="15">
        <f>$B$6</f>
        <v/>
      </c>
      <c r="H357" s="15">
        <f>$B$7</f>
        <v/>
      </c>
      <c r="I357" s="22">
        <f>IF(AND(F357&gt;=G357,D357&gt;=H357),"FI reached","")</f>
        <v/>
      </c>
      <c r="J357" s="22">
        <f>IF(A357=720,"60-year model limit","")</f>
        <v/>
      </c>
    </row>
    <row r="358">
      <c r="A358" s="23" t="n">
        <v>342</v>
      </c>
      <c r="B358" s="24">
        <f>EDATE(TODAY(),A358)</f>
        <v/>
      </c>
      <c r="C358" s="25">
        <f>Inputs!$B$5+A358/12</f>
        <v/>
      </c>
      <c r="D358" s="15">
        <f>D357*(1+$B$8)^(1/12)+$B$10</f>
        <v/>
      </c>
      <c r="E358" s="15">
        <f>E357*(1+$B$9)^(1/12)</f>
        <v/>
      </c>
      <c r="F358" s="15">
        <f>D358+E358</f>
        <v/>
      </c>
      <c r="G358" s="15">
        <f>$B$6</f>
        <v/>
      </c>
      <c r="H358" s="15">
        <f>$B$7</f>
        <v/>
      </c>
      <c r="I358" s="22">
        <f>IF(AND(F358&gt;=G358,D358&gt;=H358),"FI reached","")</f>
        <v/>
      </c>
      <c r="J358" s="22">
        <f>IF(A358=720,"60-year model limit","")</f>
        <v/>
      </c>
    </row>
    <row r="359">
      <c r="A359" s="23" t="n">
        <v>343</v>
      </c>
      <c r="B359" s="24">
        <f>EDATE(TODAY(),A359)</f>
        <v/>
      </c>
      <c r="C359" s="25">
        <f>Inputs!$B$5+A359/12</f>
        <v/>
      </c>
      <c r="D359" s="15">
        <f>D358*(1+$B$8)^(1/12)+$B$10</f>
        <v/>
      </c>
      <c r="E359" s="15">
        <f>E358*(1+$B$9)^(1/12)</f>
        <v/>
      </c>
      <c r="F359" s="15">
        <f>D359+E359</f>
        <v/>
      </c>
      <c r="G359" s="15">
        <f>$B$6</f>
        <v/>
      </c>
      <c r="H359" s="15">
        <f>$B$7</f>
        <v/>
      </c>
      <c r="I359" s="22">
        <f>IF(AND(F359&gt;=G359,D359&gt;=H359),"FI reached","")</f>
        <v/>
      </c>
      <c r="J359" s="22">
        <f>IF(A359=720,"60-year model limit","")</f>
        <v/>
      </c>
    </row>
    <row r="360">
      <c r="A360" s="23" t="n">
        <v>344</v>
      </c>
      <c r="B360" s="24">
        <f>EDATE(TODAY(),A360)</f>
        <v/>
      </c>
      <c r="C360" s="25">
        <f>Inputs!$B$5+A360/12</f>
        <v/>
      </c>
      <c r="D360" s="15">
        <f>D359*(1+$B$8)^(1/12)+$B$10</f>
        <v/>
      </c>
      <c r="E360" s="15">
        <f>E359*(1+$B$9)^(1/12)</f>
        <v/>
      </c>
      <c r="F360" s="15">
        <f>D360+E360</f>
        <v/>
      </c>
      <c r="G360" s="15">
        <f>$B$6</f>
        <v/>
      </c>
      <c r="H360" s="15">
        <f>$B$7</f>
        <v/>
      </c>
      <c r="I360" s="22">
        <f>IF(AND(F360&gt;=G360,D360&gt;=H360),"FI reached","")</f>
        <v/>
      </c>
      <c r="J360" s="22">
        <f>IF(A360=720,"60-year model limit","")</f>
        <v/>
      </c>
    </row>
    <row r="361">
      <c r="A361" s="23" t="n">
        <v>345</v>
      </c>
      <c r="B361" s="24">
        <f>EDATE(TODAY(),A361)</f>
        <v/>
      </c>
      <c r="C361" s="25">
        <f>Inputs!$B$5+A361/12</f>
        <v/>
      </c>
      <c r="D361" s="15">
        <f>D360*(1+$B$8)^(1/12)+$B$10</f>
        <v/>
      </c>
      <c r="E361" s="15">
        <f>E360*(1+$B$9)^(1/12)</f>
        <v/>
      </c>
      <c r="F361" s="15">
        <f>D361+E361</f>
        <v/>
      </c>
      <c r="G361" s="15">
        <f>$B$6</f>
        <v/>
      </c>
      <c r="H361" s="15">
        <f>$B$7</f>
        <v/>
      </c>
      <c r="I361" s="22">
        <f>IF(AND(F361&gt;=G361,D361&gt;=H361),"FI reached","")</f>
        <v/>
      </c>
      <c r="J361" s="22">
        <f>IF(A361=720,"60-year model limit","")</f>
        <v/>
      </c>
    </row>
    <row r="362">
      <c r="A362" s="23" t="n">
        <v>346</v>
      </c>
      <c r="B362" s="24">
        <f>EDATE(TODAY(),A362)</f>
        <v/>
      </c>
      <c r="C362" s="25">
        <f>Inputs!$B$5+A362/12</f>
        <v/>
      </c>
      <c r="D362" s="15">
        <f>D361*(1+$B$8)^(1/12)+$B$10</f>
        <v/>
      </c>
      <c r="E362" s="15">
        <f>E361*(1+$B$9)^(1/12)</f>
        <v/>
      </c>
      <c r="F362" s="15">
        <f>D362+E362</f>
        <v/>
      </c>
      <c r="G362" s="15">
        <f>$B$6</f>
        <v/>
      </c>
      <c r="H362" s="15">
        <f>$B$7</f>
        <v/>
      </c>
      <c r="I362" s="22">
        <f>IF(AND(F362&gt;=G362,D362&gt;=H362),"FI reached","")</f>
        <v/>
      </c>
      <c r="J362" s="22">
        <f>IF(A362=720,"60-year model limit","")</f>
        <v/>
      </c>
    </row>
    <row r="363">
      <c r="A363" s="23" t="n">
        <v>347</v>
      </c>
      <c r="B363" s="24">
        <f>EDATE(TODAY(),A363)</f>
        <v/>
      </c>
      <c r="C363" s="25">
        <f>Inputs!$B$5+A363/12</f>
        <v/>
      </c>
      <c r="D363" s="15">
        <f>D362*(1+$B$8)^(1/12)+$B$10</f>
        <v/>
      </c>
      <c r="E363" s="15">
        <f>E362*(1+$B$9)^(1/12)</f>
        <v/>
      </c>
      <c r="F363" s="15">
        <f>D363+E363</f>
        <v/>
      </c>
      <c r="G363" s="15">
        <f>$B$6</f>
        <v/>
      </c>
      <c r="H363" s="15">
        <f>$B$7</f>
        <v/>
      </c>
      <c r="I363" s="22">
        <f>IF(AND(F363&gt;=G363,D363&gt;=H363),"FI reached","")</f>
        <v/>
      </c>
      <c r="J363" s="22">
        <f>IF(A363=720,"60-year model limit","")</f>
        <v/>
      </c>
    </row>
    <row r="364">
      <c r="A364" s="23" t="n">
        <v>348</v>
      </c>
      <c r="B364" s="24">
        <f>EDATE(TODAY(),A364)</f>
        <v/>
      </c>
      <c r="C364" s="25">
        <f>Inputs!$B$5+A364/12</f>
        <v/>
      </c>
      <c r="D364" s="15">
        <f>D363*(1+$B$8)^(1/12)+$B$10</f>
        <v/>
      </c>
      <c r="E364" s="15">
        <f>E363*(1+$B$9)^(1/12)</f>
        <v/>
      </c>
      <c r="F364" s="15">
        <f>D364+E364</f>
        <v/>
      </c>
      <c r="G364" s="15">
        <f>$B$6</f>
        <v/>
      </c>
      <c r="H364" s="15">
        <f>$B$7</f>
        <v/>
      </c>
      <c r="I364" s="22">
        <f>IF(AND(F364&gt;=G364,D364&gt;=H364),"FI reached","")</f>
        <v/>
      </c>
      <c r="J364" s="22">
        <f>IF(A364=720,"60-year model limit","")</f>
        <v/>
      </c>
    </row>
    <row r="365">
      <c r="A365" s="23" t="n">
        <v>349</v>
      </c>
      <c r="B365" s="24">
        <f>EDATE(TODAY(),A365)</f>
        <v/>
      </c>
      <c r="C365" s="25">
        <f>Inputs!$B$5+A365/12</f>
        <v/>
      </c>
      <c r="D365" s="15">
        <f>D364*(1+$B$8)^(1/12)+$B$10</f>
        <v/>
      </c>
      <c r="E365" s="15">
        <f>E364*(1+$B$9)^(1/12)</f>
        <v/>
      </c>
      <c r="F365" s="15">
        <f>D365+E365</f>
        <v/>
      </c>
      <c r="G365" s="15">
        <f>$B$6</f>
        <v/>
      </c>
      <c r="H365" s="15">
        <f>$B$7</f>
        <v/>
      </c>
      <c r="I365" s="22">
        <f>IF(AND(F365&gt;=G365,D365&gt;=H365),"FI reached","")</f>
        <v/>
      </c>
      <c r="J365" s="22">
        <f>IF(A365=720,"60-year model limit","")</f>
        <v/>
      </c>
    </row>
    <row r="366">
      <c r="A366" s="23" t="n">
        <v>350</v>
      </c>
      <c r="B366" s="24">
        <f>EDATE(TODAY(),A366)</f>
        <v/>
      </c>
      <c r="C366" s="25">
        <f>Inputs!$B$5+A366/12</f>
        <v/>
      </c>
      <c r="D366" s="15">
        <f>D365*(1+$B$8)^(1/12)+$B$10</f>
        <v/>
      </c>
      <c r="E366" s="15">
        <f>E365*(1+$B$9)^(1/12)</f>
        <v/>
      </c>
      <c r="F366" s="15">
        <f>D366+E366</f>
        <v/>
      </c>
      <c r="G366" s="15">
        <f>$B$6</f>
        <v/>
      </c>
      <c r="H366" s="15">
        <f>$B$7</f>
        <v/>
      </c>
      <c r="I366" s="22">
        <f>IF(AND(F366&gt;=G366,D366&gt;=H366),"FI reached","")</f>
        <v/>
      </c>
      <c r="J366" s="22">
        <f>IF(A366=720,"60-year model limit","")</f>
        <v/>
      </c>
    </row>
    <row r="367">
      <c r="A367" s="23" t="n">
        <v>351</v>
      </c>
      <c r="B367" s="24">
        <f>EDATE(TODAY(),A367)</f>
        <v/>
      </c>
      <c r="C367" s="25">
        <f>Inputs!$B$5+A367/12</f>
        <v/>
      </c>
      <c r="D367" s="15">
        <f>D366*(1+$B$8)^(1/12)+$B$10</f>
        <v/>
      </c>
      <c r="E367" s="15">
        <f>E366*(1+$B$9)^(1/12)</f>
        <v/>
      </c>
      <c r="F367" s="15">
        <f>D367+E367</f>
        <v/>
      </c>
      <c r="G367" s="15">
        <f>$B$6</f>
        <v/>
      </c>
      <c r="H367" s="15">
        <f>$B$7</f>
        <v/>
      </c>
      <c r="I367" s="22">
        <f>IF(AND(F367&gt;=G367,D367&gt;=H367),"FI reached","")</f>
        <v/>
      </c>
      <c r="J367" s="22">
        <f>IF(A367=720,"60-year model limit","")</f>
        <v/>
      </c>
    </row>
    <row r="368">
      <c r="A368" s="23" t="n">
        <v>352</v>
      </c>
      <c r="B368" s="24">
        <f>EDATE(TODAY(),A368)</f>
        <v/>
      </c>
      <c r="C368" s="25">
        <f>Inputs!$B$5+A368/12</f>
        <v/>
      </c>
      <c r="D368" s="15">
        <f>D367*(1+$B$8)^(1/12)+$B$10</f>
        <v/>
      </c>
      <c r="E368" s="15">
        <f>E367*(1+$B$9)^(1/12)</f>
        <v/>
      </c>
      <c r="F368" s="15">
        <f>D368+E368</f>
        <v/>
      </c>
      <c r="G368" s="15">
        <f>$B$6</f>
        <v/>
      </c>
      <c r="H368" s="15">
        <f>$B$7</f>
        <v/>
      </c>
      <c r="I368" s="22">
        <f>IF(AND(F368&gt;=G368,D368&gt;=H368),"FI reached","")</f>
        <v/>
      </c>
      <c r="J368" s="22">
        <f>IF(A368=720,"60-year model limit","")</f>
        <v/>
      </c>
    </row>
    <row r="369">
      <c r="A369" s="23" t="n">
        <v>353</v>
      </c>
      <c r="B369" s="24">
        <f>EDATE(TODAY(),A369)</f>
        <v/>
      </c>
      <c r="C369" s="25">
        <f>Inputs!$B$5+A369/12</f>
        <v/>
      </c>
      <c r="D369" s="15">
        <f>D368*(1+$B$8)^(1/12)+$B$10</f>
        <v/>
      </c>
      <c r="E369" s="15">
        <f>E368*(1+$B$9)^(1/12)</f>
        <v/>
      </c>
      <c r="F369" s="15">
        <f>D369+E369</f>
        <v/>
      </c>
      <c r="G369" s="15">
        <f>$B$6</f>
        <v/>
      </c>
      <c r="H369" s="15">
        <f>$B$7</f>
        <v/>
      </c>
      <c r="I369" s="22">
        <f>IF(AND(F369&gt;=G369,D369&gt;=H369),"FI reached","")</f>
        <v/>
      </c>
      <c r="J369" s="22">
        <f>IF(A369=720,"60-year model limit","")</f>
        <v/>
      </c>
    </row>
    <row r="370">
      <c r="A370" s="23" t="n">
        <v>354</v>
      </c>
      <c r="B370" s="24">
        <f>EDATE(TODAY(),A370)</f>
        <v/>
      </c>
      <c r="C370" s="25">
        <f>Inputs!$B$5+A370/12</f>
        <v/>
      </c>
      <c r="D370" s="15">
        <f>D369*(1+$B$8)^(1/12)+$B$10</f>
        <v/>
      </c>
      <c r="E370" s="15">
        <f>E369*(1+$B$9)^(1/12)</f>
        <v/>
      </c>
      <c r="F370" s="15">
        <f>D370+E370</f>
        <v/>
      </c>
      <c r="G370" s="15">
        <f>$B$6</f>
        <v/>
      </c>
      <c r="H370" s="15">
        <f>$B$7</f>
        <v/>
      </c>
      <c r="I370" s="22">
        <f>IF(AND(F370&gt;=G370,D370&gt;=H370),"FI reached","")</f>
        <v/>
      </c>
      <c r="J370" s="22">
        <f>IF(A370=720,"60-year model limit","")</f>
        <v/>
      </c>
    </row>
    <row r="371">
      <c r="A371" s="23" t="n">
        <v>355</v>
      </c>
      <c r="B371" s="24">
        <f>EDATE(TODAY(),A371)</f>
        <v/>
      </c>
      <c r="C371" s="25">
        <f>Inputs!$B$5+A371/12</f>
        <v/>
      </c>
      <c r="D371" s="15">
        <f>D370*(1+$B$8)^(1/12)+$B$10</f>
        <v/>
      </c>
      <c r="E371" s="15">
        <f>E370*(1+$B$9)^(1/12)</f>
        <v/>
      </c>
      <c r="F371" s="15">
        <f>D371+E371</f>
        <v/>
      </c>
      <c r="G371" s="15">
        <f>$B$6</f>
        <v/>
      </c>
      <c r="H371" s="15">
        <f>$B$7</f>
        <v/>
      </c>
      <c r="I371" s="22">
        <f>IF(AND(F371&gt;=G371,D371&gt;=H371),"FI reached","")</f>
        <v/>
      </c>
      <c r="J371" s="22">
        <f>IF(A371=720,"60-year model limit","")</f>
        <v/>
      </c>
    </row>
    <row r="372">
      <c r="A372" s="23" t="n">
        <v>356</v>
      </c>
      <c r="B372" s="24">
        <f>EDATE(TODAY(),A372)</f>
        <v/>
      </c>
      <c r="C372" s="25">
        <f>Inputs!$B$5+A372/12</f>
        <v/>
      </c>
      <c r="D372" s="15">
        <f>D371*(1+$B$8)^(1/12)+$B$10</f>
        <v/>
      </c>
      <c r="E372" s="15">
        <f>E371*(1+$B$9)^(1/12)</f>
        <v/>
      </c>
      <c r="F372" s="15">
        <f>D372+E372</f>
        <v/>
      </c>
      <c r="G372" s="15">
        <f>$B$6</f>
        <v/>
      </c>
      <c r="H372" s="15">
        <f>$B$7</f>
        <v/>
      </c>
      <c r="I372" s="22">
        <f>IF(AND(F372&gt;=G372,D372&gt;=H372),"FI reached","")</f>
        <v/>
      </c>
      <c r="J372" s="22">
        <f>IF(A372=720,"60-year model limit","")</f>
        <v/>
      </c>
    </row>
    <row r="373">
      <c r="A373" s="23" t="n">
        <v>357</v>
      </c>
      <c r="B373" s="24">
        <f>EDATE(TODAY(),A373)</f>
        <v/>
      </c>
      <c r="C373" s="25">
        <f>Inputs!$B$5+A373/12</f>
        <v/>
      </c>
      <c r="D373" s="15">
        <f>D372*(1+$B$8)^(1/12)+$B$10</f>
        <v/>
      </c>
      <c r="E373" s="15">
        <f>E372*(1+$B$9)^(1/12)</f>
        <v/>
      </c>
      <c r="F373" s="15">
        <f>D373+E373</f>
        <v/>
      </c>
      <c r="G373" s="15">
        <f>$B$6</f>
        <v/>
      </c>
      <c r="H373" s="15">
        <f>$B$7</f>
        <v/>
      </c>
      <c r="I373" s="22">
        <f>IF(AND(F373&gt;=G373,D373&gt;=H373),"FI reached","")</f>
        <v/>
      </c>
      <c r="J373" s="22">
        <f>IF(A373=720,"60-year model limit","")</f>
        <v/>
      </c>
    </row>
    <row r="374">
      <c r="A374" s="23" t="n">
        <v>358</v>
      </c>
      <c r="B374" s="24">
        <f>EDATE(TODAY(),A374)</f>
        <v/>
      </c>
      <c r="C374" s="25">
        <f>Inputs!$B$5+A374/12</f>
        <v/>
      </c>
      <c r="D374" s="15">
        <f>D373*(1+$B$8)^(1/12)+$B$10</f>
        <v/>
      </c>
      <c r="E374" s="15">
        <f>E373*(1+$B$9)^(1/12)</f>
        <v/>
      </c>
      <c r="F374" s="15">
        <f>D374+E374</f>
        <v/>
      </c>
      <c r="G374" s="15">
        <f>$B$6</f>
        <v/>
      </c>
      <c r="H374" s="15">
        <f>$B$7</f>
        <v/>
      </c>
      <c r="I374" s="22">
        <f>IF(AND(F374&gt;=G374,D374&gt;=H374),"FI reached","")</f>
        <v/>
      </c>
      <c r="J374" s="22">
        <f>IF(A374=720,"60-year model limit","")</f>
        <v/>
      </c>
    </row>
    <row r="375">
      <c r="A375" s="23" t="n">
        <v>359</v>
      </c>
      <c r="B375" s="24">
        <f>EDATE(TODAY(),A375)</f>
        <v/>
      </c>
      <c r="C375" s="25">
        <f>Inputs!$B$5+A375/12</f>
        <v/>
      </c>
      <c r="D375" s="15">
        <f>D374*(1+$B$8)^(1/12)+$B$10</f>
        <v/>
      </c>
      <c r="E375" s="15">
        <f>E374*(1+$B$9)^(1/12)</f>
        <v/>
      </c>
      <c r="F375" s="15">
        <f>D375+E375</f>
        <v/>
      </c>
      <c r="G375" s="15">
        <f>$B$6</f>
        <v/>
      </c>
      <c r="H375" s="15">
        <f>$B$7</f>
        <v/>
      </c>
      <c r="I375" s="22">
        <f>IF(AND(F375&gt;=G375,D375&gt;=H375),"FI reached","")</f>
        <v/>
      </c>
      <c r="J375" s="22">
        <f>IF(A375=720,"60-year model limit","")</f>
        <v/>
      </c>
    </row>
    <row r="376">
      <c r="A376" s="23" t="n">
        <v>360</v>
      </c>
      <c r="B376" s="24">
        <f>EDATE(TODAY(),A376)</f>
        <v/>
      </c>
      <c r="C376" s="25">
        <f>Inputs!$B$5+A376/12</f>
        <v/>
      </c>
      <c r="D376" s="15">
        <f>D375*(1+$B$8)^(1/12)+$B$10</f>
        <v/>
      </c>
      <c r="E376" s="15">
        <f>E375*(1+$B$9)^(1/12)</f>
        <v/>
      </c>
      <c r="F376" s="15">
        <f>D376+E376</f>
        <v/>
      </c>
      <c r="G376" s="15">
        <f>$B$6</f>
        <v/>
      </c>
      <c r="H376" s="15">
        <f>$B$7</f>
        <v/>
      </c>
      <c r="I376" s="22">
        <f>IF(AND(F376&gt;=G376,D376&gt;=H376),"FI reached","")</f>
        <v/>
      </c>
      <c r="J376" s="22">
        <f>IF(A376=720,"60-year model limit","")</f>
        <v/>
      </c>
    </row>
    <row r="377">
      <c r="A377" s="23" t="n">
        <v>361</v>
      </c>
      <c r="B377" s="24">
        <f>EDATE(TODAY(),A377)</f>
        <v/>
      </c>
      <c r="C377" s="25">
        <f>Inputs!$B$5+A377/12</f>
        <v/>
      </c>
      <c r="D377" s="15">
        <f>D376*(1+$B$8)^(1/12)+$B$10</f>
        <v/>
      </c>
      <c r="E377" s="15">
        <f>E376*(1+$B$9)^(1/12)</f>
        <v/>
      </c>
      <c r="F377" s="15">
        <f>D377+E377</f>
        <v/>
      </c>
      <c r="G377" s="15">
        <f>$B$6</f>
        <v/>
      </c>
      <c r="H377" s="15">
        <f>$B$7</f>
        <v/>
      </c>
      <c r="I377" s="22">
        <f>IF(AND(F377&gt;=G377,D377&gt;=H377),"FI reached","")</f>
        <v/>
      </c>
      <c r="J377" s="22">
        <f>IF(A377=720,"60-year model limit","")</f>
        <v/>
      </c>
    </row>
    <row r="378">
      <c r="A378" s="23" t="n">
        <v>362</v>
      </c>
      <c r="B378" s="24">
        <f>EDATE(TODAY(),A378)</f>
        <v/>
      </c>
      <c r="C378" s="25">
        <f>Inputs!$B$5+A378/12</f>
        <v/>
      </c>
      <c r="D378" s="15">
        <f>D377*(1+$B$8)^(1/12)+$B$10</f>
        <v/>
      </c>
      <c r="E378" s="15">
        <f>E377*(1+$B$9)^(1/12)</f>
        <v/>
      </c>
      <c r="F378" s="15">
        <f>D378+E378</f>
        <v/>
      </c>
      <c r="G378" s="15">
        <f>$B$6</f>
        <v/>
      </c>
      <c r="H378" s="15">
        <f>$B$7</f>
        <v/>
      </c>
      <c r="I378" s="22">
        <f>IF(AND(F378&gt;=G378,D378&gt;=H378),"FI reached","")</f>
        <v/>
      </c>
      <c r="J378" s="22">
        <f>IF(A378=720,"60-year model limit","")</f>
        <v/>
      </c>
    </row>
    <row r="379">
      <c r="A379" s="23" t="n">
        <v>363</v>
      </c>
      <c r="B379" s="24">
        <f>EDATE(TODAY(),A379)</f>
        <v/>
      </c>
      <c r="C379" s="25">
        <f>Inputs!$B$5+A379/12</f>
        <v/>
      </c>
      <c r="D379" s="15">
        <f>D378*(1+$B$8)^(1/12)+$B$10</f>
        <v/>
      </c>
      <c r="E379" s="15">
        <f>E378*(1+$B$9)^(1/12)</f>
        <v/>
      </c>
      <c r="F379" s="15">
        <f>D379+E379</f>
        <v/>
      </c>
      <c r="G379" s="15">
        <f>$B$6</f>
        <v/>
      </c>
      <c r="H379" s="15">
        <f>$B$7</f>
        <v/>
      </c>
      <c r="I379" s="22">
        <f>IF(AND(F379&gt;=G379,D379&gt;=H379),"FI reached","")</f>
        <v/>
      </c>
      <c r="J379" s="22">
        <f>IF(A379=720,"60-year model limit","")</f>
        <v/>
      </c>
    </row>
    <row r="380">
      <c r="A380" s="23" t="n">
        <v>364</v>
      </c>
      <c r="B380" s="24">
        <f>EDATE(TODAY(),A380)</f>
        <v/>
      </c>
      <c r="C380" s="25">
        <f>Inputs!$B$5+A380/12</f>
        <v/>
      </c>
      <c r="D380" s="15">
        <f>D379*(1+$B$8)^(1/12)+$B$10</f>
        <v/>
      </c>
      <c r="E380" s="15">
        <f>E379*(1+$B$9)^(1/12)</f>
        <v/>
      </c>
      <c r="F380" s="15">
        <f>D380+E380</f>
        <v/>
      </c>
      <c r="G380" s="15">
        <f>$B$6</f>
        <v/>
      </c>
      <c r="H380" s="15">
        <f>$B$7</f>
        <v/>
      </c>
      <c r="I380" s="22">
        <f>IF(AND(F380&gt;=G380,D380&gt;=H380),"FI reached","")</f>
        <v/>
      </c>
      <c r="J380" s="22">
        <f>IF(A380=720,"60-year model limit","")</f>
        <v/>
      </c>
    </row>
    <row r="381">
      <c r="A381" s="23" t="n">
        <v>365</v>
      </c>
      <c r="B381" s="24">
        <f>EDATE(TODAY(),A381)</f>
        <v/>
      </c>
      <c r="C381" s="25">
        <f>Inputs!$B$5+A381/12</f>
        <v/>
      </c>
      <c r="D381" s="15">
        <f>D380*(1+$B$8)^(1/12)+$B$10</f>
        <v/>
      </c>
      <c r="E381" s="15">
        <f>E380*(1+$B$9)^(1/12)</f>
        <v/>
      </c>
      <c r="F381" s="15">
        <f>D381+E381</f>
        <v/>
      </c>
      <c r="G381" s="15">
        <f>$B$6</f>
        <v/>
      </c>
      <c r="H381" s="15">
        <f>$B$7</f>
        <v/>
      </c>
      <c r="I381" s="22">
        <f>IF(AND(F381&gt;=G381,D381&gt;=H381),"FI reached","")</f>
        <v/>
      </c>
      <c r="J381" s="22">
        <f>IF(A381=720,"60-year model limit","")</f>
        <v/>
      </c>
    </row>
    <row r="382">
      <c r="A382" s="23" t="n">
        <v>366</v>
      </c>
      <c r="B382" s="24">
        <f>EDATE(TODAY(),A382)</f>
        <v/>
      </c>
      <c r="C382" s="25">
        <f>Inputs!$B$5+A382/12</f>
        <v/>
      </c>
      <c r="D382" s="15">
        <f>D381*(1+$B$8)^(1/12)+$B$10</f>
        <v/>
      </c>
      <c r="E382" s="15">
        <f>E381*(1+$B$9)^(1/12)</f>
        <v/>
      </c>
      <c r="F382" s="15">
        <f>D382+E382</f>
        <v/>
      </c>
      <c r="G382" s="15">
        <f>$B$6</f>
        <v/>
      </c>
      <c r="H382" s="15">
        <f>$B$7</f>
        <v/>
      </c>
      <c r="I382" s="22">
        <f>IF(AND(F382&gt;=G382,D382&gt;=H382),"FI reached","")</f>
        <v/>
      </c>
      <c r="J382" s="22">
        <f>IF(A382=720,"60-year model limit","")</f>
        <v/>
      </c>
    </row>
    <row r="383">
      <c r="A383" s="23" t="n">
        <v>367</v>
      </c>
      <c r="B383" s="24">
        <f>EDATE(TODAY(),A383)</f>
        <v/>
      </c>
      <c r="C383" s="25">
        <f>Inputs!$B$5+A383/12</f>
        <v/>
      </c>
      <c r="D383" s="15">
        <f>D382*(1+$B$8)^(1/12)+$B$10</f>
        <v/>
      </c>
      <c r="E383" s="15">
        <f>E382*(1+$B$9)^(1/12)</f>
        <v/>
      </c>
      <c r="F383" s="15">
        <f>D383+E383</f>
        <v/>
      </c>
      <c r="G383" s="15">
        <f>$B$6</f>
        <v/>
      </c>
      <c r="H383" s="15">
        <f>$B$7</f>
        <v/>
      </c>
      <c r="I383" s="22">
        <f>IF(AND(F383&gt;=G383,D383&gt;=H383),"FI reached","")</f>
        <v/>
      </c>
      <c r="J383" s="22">
        <f>IF(A383=720,"60-year model limit","")</f>
        <v/>
      </c>
    </row>
    <row r="384">
      <c r="A384" s="23" t="n">
        <v>368</v>
      </c>
      <c r="B384" s="24">
        <f>EDATE(TODAY(),A384)</f>
        <v/>
      </c>
      <c r="C384" s="25">
        <f>Inputs!$B$5+A384/12</f>
        <v/>
      </c>
      <c r="D384" s="15">
        <f>D383*(1+$B$8)^(1/12)+$B$10</f>
        <v/>
      </c>
      <c r="E384" s="15">
        <f>E383*(1+$B$9)^(1/12)</f>
        <v/>
      </c>
      <c r="F384" s="15">
        <f>D384+E384</f>
        <v/>
      </c>
      <c r="G384" s="15">
        <f>$B$6</f>
        <v/>
      </c>
      <c r="H384" s="15">
        <f>$B$7</f>
        <v/>
      </c>
      <c r="I384" s="22">
        <f>IF(AND(F384&gt;=G384,D384&gt;=H384),"FI reached","")</f>
        <v/>
      </c>
      <c r="J384" s="22">
        <f>IF(A384=720,"60-year model limit","")</f>
        <v/>
      </c>
    </row>
    <row r="385">
      <c r="A385" s="23" t="n">
        <v>369</v>
      </c>
      <c r="B385" s="24">
        <f>EDATE(TODAY(),A385)</f>
        <v/>
      </c>
      <c r="C385" s="25">
        <f>Inputs!$B$5+A385/12</f>
        <v/>
      </c>
      <c r="D385" s="15">
        <f>D384*(1+$B$8)^(1/12)+$B$10</f>
        <v/>
      </c>
      <c r="E385" s="15">
        <f>E384*(1+$B$9)^(1/12)</f>
        <v/>
      </c>
      <c r="F385" s="15">
        <f>D385+E385</f>
        <v/>
      </c>
      <c r="G385" s="15">
        <f>$B$6</f>
        <v/>
      </c>
      <c r="H385" s="15">
        <f>$B$7</f>
        <v/>
      </c>
      <c r="I385" s="22">
        <f>IF(AND(F385&gt;=G385,D385&gt;=H385),"FI reached","")</f>
        <v/>
      </c>
      <c r="J385" s="22">
        <f>IF(A385=720,"60-year model limit","")</f>
        <v/>
      </c>
    </row>
    <row r="386">
      <c r="A386" s="23" t="n">
        <v>370</v>
      </c>
      <c r="B386" s="24">
        <f>EDATE(TODAY(),A386)</f>
        <v/>
      </c>
      <c r="C386" s="25">
        <f>Inputs!$B$5+A386/12</f>
        <v/>
      </c>
      <c r="D386" s="15">
        <f>D385*(1+$B$8)^(1/12)+$B$10</f>
        <v/>
      </c>
      <c r="E386" s="15">
        <f>E385*(1+$B$9)^(1/12)</f>
        <v/>
      </c>
      <c r="F386" s="15">
        <f>D386+E386</f>
        <v/>
      </c>
      <c r="G386" s="15">
        <f>$B$6</f>
        <v/>
      </c>
      <c r="H386" s="15">
        <f>$B$7</f>
        <v/>
      </c>
      <c r="I386" s="22">
        <f>IF(AND(F386&gt;=G386,D386&gt;=H386),"FI reached","")</f>
        <v/>
      </c>
      <c r="J386" s="22">
        <f>IF(A386=720,"60-year model limit","")</f>
        <v/>
      </c>
    </row>
    <row r="387">
      <c r="A387" s="23" t="n">
        <v>371</v>
      </c>
      <c r="B387" s="24">
        <f>EDATE(TODAY(),A387)</f>
        <v/>
      </c>
      <c r="C387" s="25">
        <f>Inputs!$B$5+A387/12</f>
        <v/>
      </c>
      <c r="D387" s="15">
        <f>D386*(1+$B$8)^(1/12)+$B$10</f>
        <v/>
      </c>
      <c r="E387" s="15">
        <f>E386*(1+$B$9)^(1/12)</f>
        <v/>
      </c>
      <c r="F387" s="15">
        <f>D387+E387</f>
        <v/>
      </c>
      <c r="G387" s="15">
        <f>$B$6</f>
        <v/>
      </c>
      <c r="H387" s="15">
        <f>$B$7</f>
        <v/>
      </c>
      <c r="I387" s="22">
        <f>IF(AND(F387&gt;=G387,D387&gt;=H387),"FI reached","")</f>
        <v/>
      </c>
      <c r="J387" s="22">
        <f>IF(A387=720,"60-year model limit","")</f>
        <v/>
      </c>
    </row>
    <row r="388">
      <c r="A388" s="23" t="n">
        <v>372</v>
      </c>
      <c r="B388" s="24">
        <f>EDATE(TODAY(),A388)</f>
        <v/>
      </c>
      <c r="C388" s="25">
        <f>Inputs!$B$5+A388/12</f>
        <v/>
      </c>
      <c r="D388" s="15">
        <f>D387*(1+$B$8)^(1/12)+$B$10</f>
        <v/>
      </c>
      <c r="E388" s="15">
        <f>E387*(1+$B$9)^(1/12)</f>
        <v/>
      </c>
      <c r="F388" s="15">
        <f>D388+E388</f>
        <v/>
      </c>
      <c r="G388" s="15">
        <f>$B$6</f>
        <v/>
      </c>
      <c r="H388" s="15">
        <f>$B$7</f>
        <v/>
      </c>
      <c r="I388" s="22">
        <f>IF(AND(F388&gt;=G388,D388&gt;=H388),"FI reached","")</f>
        <v/>
      </c>
      <c r="J388" s="22">
        <f>IF(A388=720,"60-year model limit","")</f>
        <v/>
      </c>
    </row>
    <row r="389">
      <c r="A389" s="23" t="n">
        <v>373</v>
      </c>
      <c r="B389" s="24">
        <f>EDATE(TODAY(),A389)</f>
        <v/>
      </c>
      <c r="C389" s="25">
        <f>Inputs!$B$5+A389/12</f>
        <v/>
      </c>
      <c r="D389" s="15">
        <f>D388*(1+$B$8)^(1/12)+$B$10</f>
        <v/>
      </c>
      <c r="E389" s="15">
        <f>E388*(1+$B$9)^(1/12)</f>
        <v/>
      </c>
      <c r="F389" s="15">
        <f>D389+E389</f>
        <v/>
      </c>
      <c r="G389" s="15">
        <f>$B$6</f>
        <v/>
      </c>
      <c r="H389" s="15">
        <f>$B$7</f>
        <v/>
      </c>
      <c r="I389" s="22">
        <f>IF(AND(F389&gt;=G389,D389&gt;=H389),"FI reached","")</f>
        <v/>
      </c>
      <c r="J389" s="22">
        <f>IF(A389=720,"60-year model limit","")</f>
        <v/>
      </c>
    </row>
    <row r="390">
      <c r="A390" s="23" t="n">
        <v>374</v>
      </c>
      <c r="B390" s="24">
        <f>EDATE(TODAY(),A390)</f>
        <v/>
      </c>
      <c r="C390" s="25">
        <f>Inputs!$B$5+A390/12</f>
        <v/>
      </c>
      <c r="D390" s="15">
        <f>D389*(1+$B$8)^(1/12)+$B$10</f>
        <v/>
      </c>
      <c r="E390" s="15">
        <f>E389*(1+$B$9)^(1/12)</f>
        <v/>
      </c>
      <c r="F390" s="15">
        <f>D390+E390</f>
        <v/>
      </c>
      <c r="G390" s="15">
        <f>$B$6</f>
        <v/>
      </c>
      <c r="H390" s="15">
        <f>$B$7</f>
        <v/>
      </c>
      <c r="I390" s="22">
        <f>IF(AND(F390&gt;=G390,D390&gt;=H390),"FI reached","")</f>
        <v/>
      </c>
      <c r="J390" s="22">
        <f>IF(A390=720,"60-year model limit","")</f>
        <v/>
      </c>
    </row>
    <row r="391">
      <c r="A391" s="23" t="n">
        <v>375</v>
      </c>
      <c r="B391" s="24">
        <f>EDATE(TODAY(),A391)</f>
        <v/>
      </c>
      <c r="C391" s="25">
        <f>Inputs!$B$5+A391/12</f>
        <v/>
      </c>
      <c r="D391" s="15">
        <f>D390*(1+$B$8)^(1/12)+$B$10</f>
        <v/>
      </c>
      <c r="E391" s="15">
        <f>E390*(1+$B$9)^(1/12)</f>
        <v/>
      </c>
      <c r="F391" s="15">
        <f>D391+E391</f>
        <v/>
      </c>
      <c r="G391" s="15">
        <f>$B$6</f>
        <v/>
      </c>
      <c r="H391" s="15">
        <f>$B$7</f>
        <v/>
      </c>
      <c r="I391" s="22">
        <f>IF(AND(F391&gt;=G391,D391&gt;=H391),"FI reached","")</f>
        <v/>
      </c>
      <c r="J391" s="22">
        <f>IF(A391=720,"60-year model limit","")</f>
        <v/>
      </c>
    </row>
    <row r="392">
      <c r="A392" s="23" t="n">
        <v>376</v>
      </c>
      <c r="B392" s="24">
        <f>EDATE(TODAY(),A392)</f>
        <v/>
      </c>
      <c r="C392" s="25">
        <f>Inputs!$B$5+A392/12</f>
        <v/>
      </c>
      <c r="D392" s="15">
        <f>D391*(1+$B$8)^(1/12)+$B$10</f>
        <v/>
      </c>
      <c r="E392" s="15">
        <f>E391*(1+$B$9)^(1/12)</f>
        <v/>
      </c>
      <c r="F392" s="15">
        <f>D392+E392</f>
        <v/>
      </c>
      <c r="G392" s="15">
        <f>$B$6</f>
        <v/>
      </c>
      <c r="H392" s="15">
        <f>$B$7</f>
        <v/>
      </c>
      <c r="I392" s="22">
        <f>IF(AND(F392&gt;=G392,D392&gt;=H392),"FI reached","")</f>
        <v/>
      </c>
      <c r="J392" s="22">
        <f>IF(A392=720,"60-year model limit","")</f>
        <v/>
      </c>
    </row>
    <row r="393">
      <c r="A393" s="23" t="n">
        <v>377</v>
      </c>
      <c r="B393" s="24">
        <f>EDATE(TODAY(),A393)</f>
        <v/>
      </c>
      <c r="C393" s="25">
        <f>Inputs!$B$5+A393/12</f>
        <v/>
      </c>
      <c r="D393" s="15">
        <f>D392*(1+$B$8)^(1/12)+$B$10</f>
        <v/>
      </c>
      <c r="E393" s="15">
        <f>E392*(1+$B$9)^(1/12)</f>
        <v/>
      </c>
      <c r="F393" s="15">
        <f>D393+E393</f>
        <v/>
      </c>
      <c r="G393" s="15">
        <f>$B$6</f>
        <v/>
      </c>
      <c r="H393" s="15">
        <f>$B$7</f>
        <v/>
      </c>
      <c r="I393" s="22">
        <f>IF(AND(F393&gt;=G393,D393&gt;=H393),"FI reached","")</f>
        <v/>
      </c>
      <c r="J393" s="22">
        <f>IF(A393=720,"60-year model limit","")</f>
        <v/>
      </c>
    </row>
    <row r="394">
      <c r="A394" s="23" t="n">
        <v>378</v>
      </c>
      <c r="B394" s="24">
        <f>EDATE(TODAY(),A394)</f>
        <v/>
      </c>
      <c r="C394" s="25">
        <f>Inputs!$B$5+A394/12</f>
        <v/>
      </c>
      <c r="D394" s="15">
        <f>D393*(1+$B$8)^(1/12)+$B$10</f>
        <v/>
      </c>
      <c r="E394" s="15">
        <f>E393*(1+$B$9)^(1/12)</f>
        <v/>
      </c>
      <c r="F394" s="15">
        <f>D394+E394</f>
        <v/>
      </c>
      <c r="G394" s="15">
        <f>$B$6</f>
        <v/>
      </c>
      <c r="H394" s="15">
        <f>$B$7</f>
        <v/>
      </c>
      <c r="I394" s="22">
        <f>IF(AND(F394&gt;=G394,D394&gt;=H394),"FI reached","")</f>
        <v/>
      </c>
      <c r="J394" s="22">
        <f>IF(A394=720,"60-year model limit","")</f>
        <v/>
      </c>
    </row>
    <row r="395">
      <c r="A395" s="23" t="n">
        <v>379</v>
      </c>
      <c r="B395" s="24">
        <f>EDATE(TODAY(),A395)</f>
        <v/>
      </c>
      <c r="C395" s="25">
        <f>Inputs!$B$5+A395/12</f>
        <v/>
      </c>
      <c r="D395" s="15">
        <f>D394*(1+$B$8)^(1/12)+$B$10</f>
        <v/>
      </c>
      <c r="E395" s="15">
        <f>E394*(1+$B$9)^(1/12)</f>
        <v/>
      </c>
      <c r="F395" s="15">
        <f>D395+E395</f>
        <v/>
      </c>
      <c r="G395" s="15">
        <f>$B$6</f>
        <v/>
      </c>
      <c r="H395" s="15">
        <f>$B$7</f>
        <v/>
      </c>
      <c r="I395" s="22">
        <f>IF(AND(F395&gt;=G395,D395&gt;=H395),"FI reached","")</f>
        <v/>
      </c>
      <c r="J395" s="22">
        <f>IF(A395=720,"60-year model limit","")</f>
        <v/>
      </c>
    </row>
    <row r="396">
      <c r="A396" s="23" t="n">
        <v>380</v>
      </c>
      <c r="B396" s="24">
        <f>EDATE(TODAY(),A396)</f>
        <v/>
      </c>
      <c r="C396" s="25">
        <f>Inputs!$B$5+A396/12</f>
        <v/>
      </c>
      <c r="D396" s="15">
        <f>D395*(1+$B$8)^(1/12)+$B$10</f>
        <v/>
      </c>
      <c r="E396" s="15">
        <f>E395*(1+$B$9)^(1/12)</f>
        <v/>
      </c>
      <c r="F396" s="15">
        <f>D396+E396</f>
        <v/>
      </c>
      <c r="G396" s="15">
        <f>$B$6</f>
        <v/>
      </c>
      <c r="H396" s="15">
        <f>$B$7</f>
        <v/>
      </c>
      <c r="I396" s="22">
        <f>IF(AND(F396&gt;=G396,D396&gt;=H396),"FI reached","")</f>
        <v/>
      </c>
      <c r="J396" s="22">
        <f>IF(A396=720,"60-year model limit","")</f>
        <v/>
      </c>
    </row>
    <row r="397">
      <c r="A397" s="23" t="n">
        <v>381</v>
      </c>
      <c r="B397" s="24">
        <f>EDATE(TODAY(),A397)</f>
        <v/>
      </c>
      <c r="C397" s="25">
        <f>Inputs!$B$5+A397/12</f>
        <v/>
      </c>
      <c r="D397" s="15">
        <f>D396*(1+$B$8)^(1/12)+$B$10</f>
        <v/>
      </c>
      <c r="E397" s="15">
        <f>E396*(1+$B$9)^(1/12)</f>
        <v/>
      </c>
      <c r="F397" s="15">
        <f>D397+E397</f>
        <v/>
      </c>
      <c r="G397" s="15">
        <f>$B$6</f>
        <v/>
      </c>
      <c r="H397" s="15">
        <f>$B$7</f>
        <v/>
      </c>
      <c r="I397" s="22">
        <f>IF(AND(F397&gt;=G397,D397&gt;=H397),"FI reached","")</f>
        <v/>
      </c>
      <c r="J397" s="22">
        <f>IF(A397=720,"60-year model limit","")</f>
        <v/>
      </c>
    </row>
    <row r="398">
      <c r="A398" s="23" t="n">
        <v>382</v>
      </c>
      <c r="B398" s="24">
        <f>EDATE(TODAY(),A398)</f>
        <v/>
      </c>
      <c r="C398" s="25">
        <f>Inputs!$B$5+A398/12</f>
        <v/>
      </c>
      <c r="D398" s="15">
        <f>D397*(1+$B$8)^(1/12)+$B$10</f>
        <v/>
      </c>
      <c r="E398" s="15">
        <f>E397*(1+$B$9)^(1/12)</f>
        <v/>
      </c>
      <c r="F398" s="15">
        <f>D398+E398</f>
        <v/>
      </c>
      <c r="G398" s="15">
        <f>$B$6</f>
        <v/>
      </c>
      <c r="H398" s="15">
        <f>$B$7</f>
        <v/>
      </c>
      <c r="I398" s="22">
        <f>IF(AND(F398&gt;=G398,D398&gt;=H398),"FI reached","")</f>
        <v/>
      </c>
      <c r="J398" s="22">
        <f>IF(A398=720,"60-year model limit","")</f>
        <v/>
      </c>
    </row>
    <row r="399">
      <c r="A399" s="23" t="n">
        <v>383</v>
      </c>
      <c r="B399" s="24">
        <f>EDATE(TODAY(),A399)</f>
        <v/>
      </c>
      <c r="C399" s="25">
        <f>Inputs!$B$5+A399/12</f>
        <v/>
      </c>
      <c r="D399" s="15">
        <f>D398*(1+$B$8)^(1/12)+$B$10</f>
        <v/>
      </c>
      <c r="E399" s="15">
        <f>E398*(1+$B$9)^(1/12)</f>
        <v/>
      </c>
      <c r="F399" s="15">
        <f>D399+E399</f>
        <v/>
      </c>
      <c r="G399" s="15">
        <f>$B$6</f>
        <v/>
      </c>
      <c r="H399" s="15">
        <f>$B$7</f>
        <v/>
      </c>
      <c r="I399" s="22">
        <f>IF(AND(F399&gt;=G399,D399&gt;=H399),"FI reached","")</f>
        <v/>
      </c>
      <c r="J399" s="22">
        <f>IF(A399=720,"60-year model limit","")</f>
        <v/>
      </c>
    </row>
    <row r="400">
      <c r="A400" s="23" t="n">
        <v>384</v>
      </c>
      <c r="B400" s="24">
        <f>EDATE(TODAY(),A400)</f>
        <v/>
      </c>
      <c r="C400" s="25">
        <f>Inputs!$B$5+A400/12</f>
        <v/>
      </c>
      <c r="D400" s="15">
        <f>D399*(1+$B$8)^(1/12)+$B$10</f>
        <v/>
      </c>
      <c r="E400" s="15">
        <f>E399*(1+$B$9)^(1/12)</f>
        <v/>
      </c>
      <c r="F400" s="15">
        <f>D400+E400</f>
        <v/>
      </c>
      <c r="G400" s="15">
        <f>$B$6</f>
        <v/>
      </c>
      <c r="H400" s="15">
        <f>$B$7</f>
        <v/>
      </c>
      <c r="I400" s="22">
        <f>IF(AND(F400&gt;=G400,D400&gt;=H400),"FI reached","")</f>
        <v/>
      </c>
      <c r="J400" s="22">
        <f>IF(A400=720,"60-year model limit","")</f>
        <v/>
      </c>
    </row>
    <row r="401">
      <c r="A401" s="23" t="n">
        <v>385</v>
      </c>
      <c r="B401" s="24">
        <f>EDATE(TODAY(),A401)</f>
        <v/>
      </c>
      <c r="C401" s="25">
        <f>Inputs!$B$5+A401/12</f>
        <v/>
      </c>
      <c r="D401" s="15">
        <f>D400*(1+$B$8)^(1/12)+$B$10</f>
        <v/>
      </c>
      <c r="E401" s="15">
        <f>E400*(1+$B$9)^(1/12)</f>
        <v/>
      </c>
      <c r="F401" s="15">
        <f>D401+E401</f>
        <v/>
      </c>
      <c r="G401" s="15">
        <f>$B$6</f>
        <v/>
      </c>
      <c r="H401" s="15">
        <f>$B$7</f>
        <v/>
      </c>
      <c r="I401" s="22">
        <f>IF(AND(F401&gt;=G401,D401&gt;=H401),"FI reached","")</f>
        <v/>
      </c>
      <c r="J401" s="22">
        <f>IF(A401=720,"60-year model limit","")</f>
        <v/>
      </c>
    </row>
    <row r="402">
      <c r="A402" s="23" t="n">
        <v>386</v>
      </c>
      <c r="B402" s="24">
        <f>EDATE(TODAY(),A402)</f>
        <v/>
      </c>
      <c r="C402" s="25">
        <f>Inputs!$B$5+A402/12</f>
        <v/>
      </c>
      <c r="D402" s="15">
        <f>D401*(1+$B$8)^(1/12)+$B$10</f>
        <v/>
      </c>
      <c r="E402" s="15">
        <f>E401*(1+$B$9)^(1/12)</f>
        <v/>
      </c>
      <c r="F402" s="15">
        <f>D402+E402</f>
        <v/>
      </c>
      <c r="G402" s="15">
        <f>$B$6</f>
        <v/>
      </c>
      <c r="H402" s="15">
        <f>$B$7</f>
        <v/>
      </c>
      <c r="I402" s="22">
        <f>IF(AND(F402&gt;=G402,D402&gt;=H402),"FI reached","")</f>
        <v/>
      </c>
      <c r="J402" s="22">
        <f>IF(A402=720,"60-year model limit","")</f>
        <v/>
      </c>
    </row>
    <row r="403">
      <c r="A403" s="23" t="n">
        <v>387</v>
      </c>
      <c r="B403" s="24">
        <f>EDATE(TODAY(),A403)</f>
        <v/>
      </c>
      <c r="C403" s="25">
        <f>Inputs!$B$5+A403/12</f>
        <v/>
      </c>
      <c r="D403" s="15">
        <f>D402*(1+$B$8)^(1/12)+$B$10</f>
        <v/>
      </c>
      <c r="E403" s="15">
        <f>E402*(1+$B$9)^(1/12)</f>
        <v/>
      </c>
      <c r="F403" s="15">
        <f>D403+E403</f>
        <v/>
      </c>
      <c r="G403" s="15">
        <f>$B$6</f>
        <v/>
      </c>
      <c r="H403" s="15">
        <f>$B$7</f>
        <v/>
      </c>
      <c r="I403" s="22">
        <f>IF(AND(F403&gt;=G403,D403&gt;=H403),"FI reached","")</f>
        <v/>
      </c>
      <c r="J403" s="22">
        <f>IF(A403=720,"60-year model limit","")</f>
        <v/>
      </c>
    </row>
    <row r="404">
      <c r="A404" s="23" t="n">
        <v>388</v>
      </c>
      <c r="B404" s="24">
        <f>EDATE(TODAY(),A404)</f>
        <v/>
      </c>
      <c r="C404" s="25">
        <f>Inputs!$B$5+A404/12</f>
        <v/>
      </c>
      <c r="D404" s="15">
        <f>D403*(1+$B$8)^(1/12)+$B$10</f>
        <v/>
      </c>
      <c r="E404" s="15">
        <f>E403*(1+$B$9)^(1/12)</f>
        <v/>
      </c>
      <c r="F404" s="15">
        <f>D404+E404</f>
        <v/>
      </c>
      <c r="G404" s="15">
        <f>$B$6</f>
        <v/>
      </c>
      <c r="H404" s="15">
        <f>$B$7</f>
        <v/>
      </c>
      <c r="I404" s="22">
        <f>IF(AND(F404&gt;=G404,D404&gt;=H404),"FI reached","")</f>
        <v/>
      </c>
      <c r="J404" s="22">
        <f>IF(A404=720,"60-year model limit","")</f>
        <v/>
      </c>
    </row>
    <row r="405">
      <c r="A405" s="23" t="n">
        <v>389</v>
      </c>
      <c r="B405" s="24">
        <f>EDATE(TODAY(),A405)</f>
        <v/>
      </c>
      <c r="C405" s="25">
        <f>Inputs!$B$5+A405/12</f>
        <v/>
      </c>
      <c r="D405" s="15">
        <f>D404*(1+$B$8)^(1/12)+$B$10</f>
        <v/>
      </c>
      <c r="E405" s="15">
        <f>E404*(1+$B$9)^(1/12)</f>
        <v/>
      </c>
      <c r="F405" s="15">
        <f>D405+E405</f>
        <v/>
      </c>
      <c r="G405" s="15">
        <f>$B$6</f>
        <v/>
      </c>
      <c r="H405" s="15">
        <f>$B$7</f>
        <v/>
      </c>
      <c r="I405" s="22">
        <f>IF(AND(F405&gt;=G405,D405&gt;=H405),"FI reached","")</f>
        <v/>
      </c>
      <c r="J405" s="22">
        <f>IF(A405=720,"60-year model limit","")</f>
        <v/>
      </c>
    </row>
    <row r="406">
      <c r="A406" s="23" t="n">
        <v>390</v>
      </c>
      <c r="B406" s="24">
        <f>EDATE(TODAY(),A406)</f>
        <v/>
      </c>
      <c r="C406" s="25">
        <f>Inputs!$B$5+A406/12</f>
        <v/>
      </c>
      <c r="D406" s="15">
        <f>D405*(1+$B$8)^(1/12)+$B$10</f>
        <v/>
      </c>
      <c r="E406" s="15">
        <f>E405*(1+$B$9)^(1/12)</f>
        <v/>
      </c>
      <c r="F406" s="15">
        <f>D406+E406</f>
        <v/>
      </c>
      <c r="G406" s="15">
        <f>$B$6</f>
        <v/>
      </c>
      <c r="H406" s="15">
        <f>$B$7</f>
        <v/>
      </c>
      <c r="I406" s="22">
        <f>IF(AND(F406&gt;=G406,D406&gt;=H406),"FI reached","")</f>
        <v/>
      </c>
      <c r="J406" s="22">
        <f>IF(A406=720,"60-year model limit","")</f>
        <v/>
      </c>
    </row>
    <row r="407">
      <c r="A407" s="23" t="n">
        <v>391</v>
      </c>
      <c r="B407" s="24">
        <f>EDATE(TODAY(),A407)</f>
        <v/>
      </c>
      <c r="C407" s="25">
        <f>Inputs!$B$5+A407/12</f>
        <v/>
      </c>
      <c r="D407" s="15">
        <f>D406*(1+$B$8)^(1/12)+$B$10</f>
        <v/>
      </c>
      <c r="E407" s="15">
        <f>E406*(1+$B$9)^(1/12)</f>
        <v/>
      </c>
      <c r="F407" s="15">
        <f>D407+E407</f>
        <v/>
      </c>
      <c r="G407" s="15">
        <f>$B$6</f>
        <v/>
      </c>
      <c r="H407" s="15">
        <f>$B$7</f>
        <v/>
      </c>
      <c r="I407" s="22">
        <f>IF(AND(F407&gt;=G407,D407&gt;=H407),"FI reached","")</f>
        <v/>
      </c>
      <c r="J407" s="22">
        <f>IF(A407=720,"60-year model limit","")</f>
        <v/>
      </c>
    </row>
    <row r="408">
      <c r="A408" s="23" t="n">
        <v>392</v>
      </c>
      <c r="B408" s="24">
        <f>EDATE(TODAY(),A408)</f>
        <v/>
      </c>
      <c r="C408" s="25">
        <f>Inputs!$B$5+A408/12</f>
        <v/>
      </c>
      <c r="D408" s="15">
        <f>D407*(1+$B$8)^(1/12)+$B$10</f>
        <v/>
      </c>
      <c r="E408" s="15">
        <f>E407*(1+$B$9)^(1/12)</f>
        <v/>
      </c>
      <c r="F408" s="15">
        <f>D408+E408</f>
        <v/>
      </c>
      <c r="G408" s="15">
        <f>$B$6</f>
        <v/>
      </c>
      <c r="H408" s="15">
        <f>$B$7</f>
        <v/>
      </c>
      <c r="I408" s="22">
        <f>IF(AND(F408&gt;=G408,D408&gt;=H408),"FI reached","")</f>
        <v/>
      </c>
      <c r="J408" s="22">
        <f>IF(A408=720,"60-year model limit","")</f>
        <v/>
      </c>
    </row>
    <row r="409">
      <c r="A409" s="23" t="n">
        <v>393</v>
      </c>
      <c r="B409" s="24">
        <f>EDATE(TODAY(),A409)</f>
        <v/>
      </c>
      <c r="C409" s="25">
        <f>Inputs!$B$5+A409/12</f>
        <v/>
      </c>
      <c r="D409" s="15">
        <f>D408*(1+$B$8)^(1/12)+$B$10</f>
        <v/>
      </c>
      <c r="E409" s="15">
        <f>E408*(1+$B$9)^(1/12)</f>
        <v/>
      </c>
      <c r="F409" s="15">
        <f>D409+E409</f>
        <v/>
      </c>
      <c r="G409" s="15">
        <f>$B$6</f>
        <v/>
      </c>
      <c r="H409" s="15">
        <f>$B$7</f>
        <v/>
      </c>
      <c r="I409" s="22">
        <f>IF(AND(F409&gt;=G409,D409&gt;=H409),"FI reached","")</f>
        <v/>
      </c>
      <c r="J409" s="22">
        <f>IF(A409=720,"60-year model limit","")</f>
        <v/>
      </c>
    </row>
    <row r="410">
      <c r="A410" s="23" t="n">
        <v>394</v>
      </c>
      <c r="B410" s="24">
        <f>EDATE(TODAY(),A410)</f>
        <v/>
      </c>
      <c r="C410" s="25">
        <f>Inputs!$B$5+A410/12</f>
        <v/>
      </c>
      <c r="D410" s="15">
        <f>D409*(1+$B$8)^(1/12)+$B$10</f>
        <v/>
      </c>
      <c r="E410" s="15">
        <f>E409*(1+$B$9)^(1/12)</f>
        <v/>
      </c>
      <c r="F410" s="15">
        <f>D410+E410</f>
        <v/>
      </c>
      <c r="G410" s="15">
        <f>$B$6</f>
        <v/>
      </c>
      <c r="H410" s="15">
        <f>$B$7</f>
        <v/>
      </c>
      <c r="I410" s="22">
        <f>IF(AND(F410&gt;=G410,D410&gt;=H410),"FI reached","")</f>
        <v/>
      </c>
      <c r="J410" s="22">
        <f>IF(A410=720,"60-year model limit","")</f>
        <v/>
      </c>
    </row>
    <row r="411">
      <c r="A411" s="23" t="n">
        <v>395</v>
      </c>
      <c r="B411" s="24">
        <f>EDATE(TODAY(),A411)</f>
        <v/>
      </c>
      <c r="C411" s="25">
        <f>Inputs!$B$5+A411/12</f>
        <v/>
      </c>
      <c r="D411" s="15">
        <f>D410*(1+$B$8)^(1/12)+$B$10</f>
        <v/>
      </c>
      <c r="E411" s="15">
        <f>E410*(1+$B$9)^(1/12)</f>
        <v/>
      </c>
      <c r="F411" s="15">
        <f>D411+E411</f>
        <v/>
      </c>
      <c r="G411" s="15">
        <f>$B$6</f>
        <v/>
      </c>
      <c r="H411" s="15">
        <f>$B$7</f>
        <v/>
      </c>
      <c r="I411" s="22">
        <f>IF(AND(F411&gt;=G411,D411&gt;=H411),"FI reached","")</f>
        <v/>
      </c>
      <c r="J411" s="22">
        <f>IF(A411=720,"60-year model limit","")</f>
        <v/>
      </c>
    </row>
    <row r="412">
      <c r="A412" s="23" t="n">
        <v>396</v>
      </c>
      <c r="B412" s="24">
        <f>EDATE(TODAY(),A412)</f>
        <v/>
      </c>
      <c r="C412" s="25">
        <f>Inputs!$B$5+A412/12</f>
        <v/>
      </c>
      <c r="D412" s="15">
        <f>D411*(1+$B$8)^(1/12)+$B$10</f>
        <v/>
      </c>
      <c r="E412" s="15">
        <f>E411*(1+$B$9)^(1/12)</f>
        <v/>
      </c>
      <c r="F412" s="15">
        <f>D412+E412</f>
        <v/>
      </c>
      <c r="G412" s="15">
        <f>$B$6</f>
        <v/>
      </c>
      <c r="H412" s="15">
        <f>$B$7</f>
        <v/>
      </c>
      <c r="I412" s="22">
        <f>IF(AND(F412&gt;=G412,D412&gt;=H412),"FI reached","")</f>
        <v/>
      </c>
      <c r="J412" s="22">
        <f>IF(A412=720,"60-year model limit","")</f>
        <v/>
      </c>
    </row>
    <row r="413">
      <c r="A413" s="23" t="n">
        <v>397</v>
      </c>
      <c r="B413" s="24">
        <f>EDATE(TODAY(),A413)</f>
        <v/>
      </c>
      <c r="C413" s="25">
        <f>Inputs!$B$5+A413/12</f>
        <v/>
      </c>
      <c r="D413" s="15">
        <f>D412*(1+$B$8)^(1/12)+$B$10</f>
        <v/>
      </c>
      <c r="E413" s="15">
        <f>E412*(1+$B$9)^(1/12)</f>
        <v/>
      </c>
      <c r="F413" s="15">
        <f>D413+E413</f>
        <v/>
      </c>
      <c r="G413" s="15">
        <f>$B$6</f>
        <v/>
      </c>
      <c r="H413" s="15">
        <f>$B$7</f>
        <v/>
      </c>
      <c r="I413" s="22">
        <f>IF(AND(F413&gt;=G413,D413&gt;=H413),"FI reached","")</f>
        <v/>
      </c>
      <c r="J413" s="22">
        <f>IF(A413=720,"60-year model limit","")</f>
        <v/>
      </c>
    </row>
    <row r="414">
      <c r="A414" s="23" t="n">
        <v>398</v>
      </c>
      <c r="B414" s="24">
        <f>EDATE(TODAY(),A414)</f>
        <v/>
      </c>
      <c r="C414" s="25">
        <f>Inputs!$B$5+A414/12</f>
        <v/>
      </c>
      <c r="D414" s="15">
        <f>D413*(1+$B$8)^(1/12)+$B$10</f>
        <v/>
      </c>
      <c r="E414" s="15">
        <f>E413*(1+$B$9)^(1/12)</f>
        <v/>
      </c>
      <c r="F414" s="15">
        <f>D414+E414</f>
        <v/>
      </c>
      <c r="G414" s="15">
        <f>$B$6</f>
        <v/>
      </c>
      <c r="H414" s="15">
        <f>$B$7</f>
        <v/>
      </c>
      <c r="I414" s="22">
        <f>IF(AND(F414&gt;=G414,D414&gt;=H414),"FI reached","")</f>
        <v/>
      </c>
      <c r="J414" s="22">
        <f>IF(A414=720,"60-year model limit","")</f>
        <v/>
      </c>
    </row>
    <row r="415">
      <c r="A415" s="23" t="n">
        <v>399</v>
      </c>
      <c r="B415" s="24">
        <f>EDATE(TODAY(),A415)</f>
        <v/>
      </c>
      <c r="C415" s="25">
        <f>Inputs!$B$5+A415/12</f>
        <v/>
      </c>
      <c r="D415" s="15">
        <f>D414*(1+$B$8)^(1/12)+$B$10</f>
        <v/>
      </c>
      <c r="E415" s="15">
        <f>E414*(1+$B$9)^(1/12)</f>
        <v/>
      </c>
      <c r="F415" s="15">
        <f>D415+E415</f>
        <v/>
      </c>
      <c r="G415" s="15">
        <f>$B$6</f>
        <v/>
      </c>
      <c r="H415" s="15">
        <f>$B$7</f>
        <v/>
      </c>
      <c r="I415" s="22">
        <f>IF(AND(F415&gt;=G415,D415&gt;=H415),"FI reached","")</f>
        <v/>
      </c>
      <c r="J415" s="22">
        <f>IF(A415=720,"60-year model limit","")</f>
        <v/>
      </c>
    </row>
    <row r="416">
      <c r="A416" s="23" t="n">
        <v>400</v>
      </c>
      <c r="B416" s="24">
        <f>EDATE(TODAY(),A416)</f>
        <v/>
      </c>
      <c r="C416" s="25">
        <f>Inputs!$B$5+A416/12</f>
        <v/>
      </c>
      <c r="D416" s="15">
        <f>D415*(1+$B$8)^(1/12)+$B$10</f>
        <v/>
      </c>
      <c r="E416" s="15">
        <f>E415*(1+$B$9)^(1/12)</f>
        <v/>
      </c>
      <c r="F416" s="15">
        <f>D416+E416</f>
        <v/>
      </c>
      <c r="G416" s="15">
        <f>$B$6</f>
        <v/>
      </c>
      <c r="H416" s="15">
        <f>$B$7</f>
        <v/>
      </c>
      <c r="I416" s="22">
        <f>IF(AND(F416&gt;=G416,D416&gt;=H416),"FI reached","")</f>
        <v/>
      </c>
      <c r="J416" s="22">
        <f>IF(A416=720,"60-year model limit","")</f>
        <v/>
      </c>
    </row>
    <row r="417">
      <c r="A417" s="23" t="n">
        <v>401</v>
      </c>
      <c r="B417" s="24">
        <f>EDATE(TODAY(),A417)</f>
        <v/>
      </c>
      <c r="C417" s="25">
        <f>Inputs!$B$5+A417/12</f>
        <v/>
      </c>
      <c r="D417" s="15">
        <f>D416*(1+$B$8)^(1/12)+$B$10</f>
        <v/>
      </c>
      <c r="E417" s="15">
        <f>E416*(1+$B$9)^(1/12)</f>
        <v/>
      </c>
      <c r="F417" s="15">
        <f>D417+E417</f>
        <v/>
      </c>
      <c r="G417" s="15">
        <f>$B$6</f>
        <v/>
      </c>
      <c r="H417" s="15">
        <f>$B$7</f>
        <v/>
      </c>
      <c r="I417" s="22">
        <f>IF(AND(F417&gt;=G417,D417&gt;=H417),"FI reached","")</f>
        <v/>
      </c>
      <c r="J417" s="22">
        <f>IF(A417=720,"60-year model limit","")</f>
        <v/>
      </c>
    </row>
    <row r="418">
      <c r="A418" s="23" t="n">
        <v>402</v>
      </c>
      <c r="B418" s="24">
        <f>EDATE(TODAY(),A418)</f>
        <v/>
      </c>
      <c r="C418" s="25">
        <f>Inputs!$B$5+A418/12</f>
        <v/>
      </c>
      <c r="D418" s="15">
        <f>D417*(1+$B$8)^(1/12)+$B$10</f>
        <v/>
      </c>
      <c r="E418" s="15">
        <f>E417*(1+$B$9)^(1/12)</f>
        <v/>
      </c>
      <c r="F418" s="15">
        <f>D418+E418</f>
        <v/>
      </c>
      <c r="G418" s="15">
        <f>$B$6</f>
        <v/>
      </c>
      <c r="H418" s="15">
        <f>$B$7</f>
        <v/>
      </c>
      <c r="I418" s="22">
        <f>IF(AND(F418&gt;=G418,D418&gt;=H418),"FI reached","")</f>
        <v/>
      </c>
      <c r="J418" s="22">
        <f>IF(A418=720,"60-year model limit","")</f>
        <v/>
      </c>
    </row>
    <row r="419">
      <c r="A419" s="23" t="n">
        <v>403</v>
      </c>
      <c r="B419" s="24">
        <f>EDATE(TODAY(),A419)</f>
        <v/>
      </c>
      <c r="C419" s="25">
        <f>Inputs!$B$5+A419/12</f>
        <v/>
      </c>
      <c r="D419" s="15">
        <f>D418*(1+$B$8)^(1/12)+$B$10</f>
        <v/>
      </c>
      <c r="E419" s="15">
        <f>E418*(1+$B$9)^(1/12)</f>
        <v/>
      </c>
      <c r="F419" s="15">
        <f>D419+E419</f>
        <v/>
      </c>
      <c r="G419" s="15">
        <f>$B$6</f>
        <v/>
      </c>
      <c r="H419" s="15">
        <f>$B$7</f>
        <v/>
      </c>
      <c r="I419" s="22">
        <f>IF(AND(F419&gt;=G419,D419&gt;=H419),"FI reached","")</f>
        <v/>
      </c>
      <c r="J419" s="22">
        <f>IF(A419=720,"60-year model limit","")</f>
        <v/>
      </c>
    </row>
    <row r="420">
      <c r="A420" s="23" t="n">
        <v>404</v>
      </c>
      <c r="B420" s="24">
        <f>EDATE(TODAY(),A420)</f>
        <v/>
      </c>
      <c r="C420" s="25">
        <f>Inputs!$B$5+A420/12</f>
        <v/>
      </c>
      <c r="D420" s="15">
        <f>D419*(1+$B$8)^(1/12)+$B$10</f>
        <v/>
      </c>
      <c r="E420" s="15">
        <f>E419*(1+$B$9)^(1/12)</f>
        <v/>
      </c>
      <c r="F420" s="15">
        <f>D420+E420</f>
        <v/>
      </c>
      <c r="G420" s="15">
        <f>$B$6</f>
        <v/>
      </c>
      <c r="H420" s="15">
        <f>$B$7</f>
        <v/>
      </c>
      <c r="I420" s="22">
        <f>IF(AND(F420&gt;=G420,D420&gt;=H420),"FI reached","")</f>
        <v/>
      </c>
      <c r="J420" s="22">
        <f>IF(A420=720,"60-year model limit","")</f>
        <v/>
      </c>
    </row>
    <row r="421">
      <c r="A421" s="23" t="n">
        <v>405</v>
      </c>
      <c r="B421" s="24">
        <f>EDATE(TODAY(),A421)</f>
        <v/>
      </c>
      <c r="C421" s="25">
        <f>Inputs!$B$5+A421/12</f>
        <v/>
      </c>
      <c r="D421" s="15">
        <f>D420*(1+$B$8)^(1/12)+$B$10</f>
        <v/>
      </c>
      <c r="E421" s="15">
        <f>E420*(1+$B$9)^(1/12)</f>
        <v/>
      </c>
      <c r="F421" s="15">
        <f>D421+E421</f>
        <v/>
      </c>
      <c r="G421" s="15">
        <f>$B$6</f>
        <v/>
      </c>
      <c r="H421" s="15">
        <f>$B$7</f>
        <v/>
      </c>
      <c r="I421" s="22">
        <f>IF(AND(F421&gt;=G421,D421&gt;=H421),"FI reached","")</f>
        <v/>
      </c>
      <c r="J421" s="22">
        <f>IF(A421=720,"60-year model limit","")</f>
        <v/>
      </c>
    </row>
    <row r="422">
      <c r="A422" s="23" t="n">
        <v>406</v>
      </c>
      <c r="B422" s="24">
        <f>EDATE(TODAY(),A422)</f>
        <v/>
      </c>
      <c r="C422" s="25">
        <f>Inputs!$B$5+A422/12</f>
        <v/>
      </c>
      <c r="D422" s="15">
        <f>D421*(1+$B$8)^(1/12)+$B$10</f>
        <v/>
      </c>
      <c r="E422" s="15">
        <f>E421*(1+$B$9)^(1/12)</f>
        <v/>
      </c>
      <c r="F422" s="15">
        <f>D422+E422</f>
        <v/>
      </c>
      <c r="G422" s="15">
        <f>$B$6</f>
        <v/>
      </c>
      <c r="H422" s="15">
        <f>$B$7</f>
        <v/>
      </c>
      <c r="I422" s="22">
        <f>IF(AND(F422&gt;=G422,D422&gt;=H422),"FI reached","")</f>
        <v/>
      </c>
      <c r="J422" s="22">
        <f>IF(A422=720,"60-year model limit","")</f>
        <v/>
      </c>
    </row>
    <row r="423">
      <c r="A423" s="23" t="n">
        <v>407</v>
      </c>
      <c r="B423" s="24">
        <f>EDATE(TODAY(),A423)</f>
        <v/>
      </c>
      <c r="C423" s="25">
        <f>Inputs!$B$5+A423/12</f>
        <v/>
      </c>
      <c r="D423" s="15">
        <f>D422*(1+$B$8)^(1/12)+$B$10</f>
        <v/>
      </c>
      <c r="E423" s="15">
        <f>E422*(1+$B$9)^(1/12)</f>
        <v/>
      </c>
      <c r="F423" s="15">
        <f>D423+E423</f>
        <v/>
      </c>
      <c r="G423" s="15">
        <f>$B$6</f>
        <v/>
      </c>
      <c r="H423" s="15">
        <f>$B$7</f>
        <v/>
      </c>
      <c r="I423" s="22">
        <f>IF(AND(F423&gt;=G423,D423&gt;=H423),"FI reached","")</f>
        <v/>
      </c>
      <c r="J423" s="22">
        <f>IF(A423=720,"60-year model limit","")</f>
        <v/>
      </c>
    </row>
    <row r="424">
      <c r="A424" s="23" t="n">
        <v>408</v>
      </c>
      <c r="B424" s="24">
        <f>EDATE(TODAY(),A424)</f>
        <v/>
      </c>
      <c r="C424" s="25">
        <f>Inputs!$B$5+A424/12</f>
        <v/>
      </c>
      <c r="D424" s="15">
        <f>D423*(1+$B$8)^(1/12)+$B$10</f>
        <v/>
      </c>
      <c r="E424" s="15">
        <f>E423*(1+$B$9)^(1/12)</f>
        <v/>
      </c>
      <c r="F424" s="15">
        <f>D424+E424</f>
        <v/>
      </c>
      <c r="G424" s="15">
        <f>$B$6</f>
        <v/>
      </c>
      <c r="H424" s="15">
        <f>$B$7</f>
        <v/>
      </c>
      <c r="I424" s="22">
        <f>IF(AND(F424&gt;=G424,D424&gt;=H424),"FI reached","")</f>
        <v/>
      </c>
      <c r="J424" s="22">
        <f>IF(A424=720,"60-year model limit","")</f>
        <v/>
      </c>
    </row>
    <row r="425">
      <c r="A425" s="23" t="n">
        <v>409</v>
      </c>
      <c r="B425" s="24">
        <f>EDATE(TODAY(),A425)</f>
        <v/>
      </c>
      <c r="C425" s="25">
        <f>Inputs!$B$5+A425/12</f>
        <v/>
      </c>
      <c r="D425" s="15">
        <f>D424*(1+$B$8)^(1/12)+$B$10</f>
        <v/>
      </c>
      <c r="E425" s="15">
        <f>E424*(1+$B$9)^(1/12)</f>
        <v/>
      </c>
      <c r="F425" s="15">
        <f>D425+E425</f>
        <v/>
      </c>
      <c r="G425" s="15">
        <f>$B$6</f>
        <v/>
      </c>
      <c r="H425" s="15">
        <f>$B$7</f>
        <v/>
      </c>
      <c r="I425" s="22">
        <f>IF(AND(F425&gt;=G425,D425&gt;=H425),"FI reached","")</f>
        <v/>
      </c>
      <c r="J425" s="22">
        <f>IF(A425=720,"60-year model limit","")</f>
        <v/>
      </c>
    </row>
    <row r="426">
      <c r="A426" s="23" t="n">
        <v>410</v>
      </c>
      <c r="B426" s="24">
        <f>EDATE(TODAY(),A426)</f>
        <v/>
      </c>
      <c r="C426" s="25">
        <f>Inputs!$B$5+A426/12</f>
        <v/>
      </c>
      <c r="D426" s="15">
        <f>D425*(1+$B$8)^(1/12)+$B$10</f>
        <v/>
      </c>
      <c r="E426" s="15">
        <f>E425*(1+$B$9)^(1/12)</f>
        <v/>
      </c>
      <c r="F426" s="15">
        <f>D426+E426</f>
        <v/>
      </c>
      <c r="G426" s="15">
        <f>$B$6</f>
        <v/>
      </c>
      <c r="H426" s="15">
        <f>$B$7</f>
        <v/>
      </c>
      <c r="I426" s="22">
        <f>IF(AND(F426&gt;=G426,D426&gt;=H426),"FI reached","")</f>
        <v/>
      </c>
      <c r="J426" s="22">
        <f>IF(A426=720,"60-year model limit","")</f>
        <v/>
      </c>
    </row>
    <row r="427">
      <c r="A427" s="23" t="n">
        <v>411</v>
      </c>
      <c r="B427" s="24">
        <f>EDATE(TODAY(),A427)</f>
        <v/>
      </c>
      <c r="C427" s="25">
        <f>Inputs!$B$5+A427/12</f>
        <v/>
      </c>
      <c r="D427" s="15">
        <f>D426*(1+$B$8)^(1/12)+$B$10</f>
        <v/>
      </c>
      <c r="E427" s="15">
        <f>E426*(1+$B$9)^(1/12)</f>
        <v/>
      </c>
      <c r="F427" s="15">
        <f>D427+E427</f>
        <v/>
      </c>
      <c r="G427" s="15">
        <f>$B$6</f>
        <v/>
      </c>
      <c r="H427" s="15">
        <f>$B$7</f>
        <v/>
      </c>
      <c r="I427" s="22">
        <f>IF(AND(F427&gt;=G427,D427&gt;=H427),"FI reached","")</f>
        <v/>
      </c>
      <c r="J427" s="22">
        <f>IF(A427=720,"60-year model limit","")</f>
        <v/>
      </c>
    </row>
    <row r="428">
      <c r="A428" s="23" t="n">
        <v>412</v>
      </c>
      <c r="B428" s="24">
        <f>EDATE(TODAY(),A428)</f>
        <v/>
      </c>
      <c r="C428" s="25">
        <f>Inputs!$B$5+A428/12</f>
        <v/>
      </c>
      <c r="D428" s="15">
        <f>D427*(1+$B$8)^(1/12)+$B$10</f>
        <v/>
      </c>
      <c r="E428" s="15">
        <f>E427*(1+$B$9)^(1/12)</f>
        <v/>
      </c>
      <c r="F428" s="15">
        <f>D428+E428</f>
        <v/>
      </c>
      <c r="G428" s="15">
        <f>$B$6</f>
        <v/>
      </c>
      <c r="H428" s="15">
        <f>$B$7</f>
        <v/>
      </c>
      <c r="I428" s="22">
        <f>IF(AND(F428&gt;=G428,D428&gt;=H428),"FI reached","")</f>
        <v/>
      </c>
      <c r="J428" s="22">
        <f>IF(A428=720,"60-year model limit","")</f>
        <v/>
      </c>
    </row>
    <row r="429">
      <c r="A429" s="23" t="n">
        <v>413</v>
      </c>
      <c r="B429" s="24">
        <f>EDATE(TODAY(),A429)</f>
        <v/>
      </c>
      <c r="C429" s="25">
        <f>Inputs!$B$5+A429/12</f>
        <v/>
      </c>
      <c r="D429" s="15">
        <f>D428*(1+$B$8)^(1/12)+$B$10</f>
        <v/>
      </c>
      <c r="E429" s="15">
        <f>E428*(1+$B$9)^(1/12)</f>
        <v/>
      </c>
      <c r="F429" s="15">
        <f>D429+E429</f>
        <v/>
      </c>
      <c r="G429" s="15">
        <f>$B$6</f>
        <v/>
      </c>
      <c r="H429" s="15">
        <f>$B$7</f>
        <v/>
      </c>
      <c r="I429" s="22">
        <f>IF(AND(F429&gt;=G429,D429&gt;=H429),"FI reached","")</f>
        <v/>
      </c>
      <c r="J429" s="22">
        <f>IF(A429=720,"60-year model limit","")</f>
        <v/>
      </c>
    </row>
    <row r="430">
      <c r="A430" s="23" t="n">
        <v>414</v>
      </c>
      <c r="B430" s="24">
        <f>EDATE(TODAY(),A430)</f>
        <v/>
      </c>
      <c r="C430" s="25">
        <f>Inputs!$B$5+A430/12</f>
        <v/>
      </c>
      <c r="D430" s="15">
        <f>D429*(1+$B$8)^(1/12)+$B$10</f>
        <v/>
      </c>
      <c r="E430" s="15">
        <f>E429*(1+$B$9)^(1/12)</f>
        <v/>
      </c>
      <c r="F430" s="15">
        <f>D430+E430</f>
        <v/>
      </c>
      <c r="G430" s="15">
        <f>$B$6</f>
        <v/>
      </c>
      <c r="H430" s="15">
        <f>$B$7</f>
        <v/>
      </c>
      <c r="I430" s="22">
        <f>IF(AND(F430&gt;=G430,D430&gt;=H430),"FI reached","")</f>
        <v/>
      </c>
      <c r="J430" s="22">
        <f>IF(A430=720,"60-year model limit","")</f>
        <v/>
      </c>
    </row>
    <row r="431">
      <c r="A431" s="23" t="n">
        <v>415</v>
      </c>
      <c r="B431" s="24">
        <f>EDATE(TODAY(),A431)</f>
        <v/>
      </c>
      <c r="C431" s="25">
        <f>Inputs!$B$5+A431/12</f>
        <v/>
      </c>
      <c r="D431" s="15">
        <f>D430*(1+$B$8)^(1/12)+$B$10</f>
        <v/>
      </c>
      <c r="E431" s="15">
        <f>E430*(1+$B$9)^(1/12)</f>
        <v/>
      </c>
      <c r="F431" s="15">
        <f>D431+E431</f>
        <v/>
      </c>
      <c r="G431" s="15">
        <f>$B$6</f>
        <v/>
      </c>
      <c r="H431" s="15">
        <f>$B$7</f>
        <v/>
      </c>
      <c r="I431" s="22">
        <f>IF(AND(F431&gt;=G431,D431&gt;=H431),"FI reached","")</f>
        <v/>
      </c>
      <c r="J431" s="22">
        <f>IF(A431=720,"60-year model limit","")</f>
        <v/>
      </c>
    </row>
    <row r="432">
      <c r="A432" s="23" t="n">
        <v>416</v>
      </c>
      <c r="B432" s="24">
        <f>EDATE(TODAY(),A432)</f>
        <v/>
      </c>
      <c r="C432" s="25">
        <f>Inputs!$B$5+A432/12</f>
        <v/>
      </c>
      <c r="D432" s="15">
        <f>D431*(1+$B$8)^(1/12)+$B$10</f>
        <v/>
      </c>
      <c r="E432" s="15">
        <f>E431*(1+$B$9)^(1/12)</f>
        <v/>
      </c>
      <c r="F432" s="15">
        <f>D432+E432</f>
        <v/>
      </c>
      <c r="G432" s="15">
        <f>$B$6</f>
        <v/>
      </c>
      <c r="H432" s="15">
        <f>$B$7</f>
        <v/>
      </c>
      <c r="I432" s="22">
        <f>IF(AND(F432&gt;=G432,D432&gt;=H432),"FI reached","")</f>
        <v/>
      </c>
      <c r="J432" s="22">
        <f>IF(A432=720,"60-year model limit","")</f>
        <v/>
      </c>
    </row>
    <row r="433">
      <c r="A433" s="23" t="n">
        <v>417</v>
      </c>
      <c r="B433" s="24">
        <f>EDATE(TODAY(),A433)</f>
        <v/>
      </c>
      <c r="C433" s="25">
        <f>Inputs!$B$5+A433/12</f>
        <v/>
      </c>
      <c r="D433" s="15">
        <f>D432*(1+$B$8)^(1/12)+$B$10</f>
        <v/>
      </c>
      <c r="E433" s="15">
        <f>E432*(1+$B$9)^(1/12)</f>
        <v/>
      </c>
      <c r="F433" s="15">
        <f>D433+E433</f>
        <v/>
      </c>
      <c r="G433" s="15">
        <f>$B$6</f>
        <v/>
      </c>
      <c r="H433" s="15">
        <f>$B$7</f>
        <v/>
      </c>
      <c r="I433" s="22">
        <f>IF(AND(F433&gt;=G433,D433&gt;=H433),"FI reached","")</f>
        <v/>
      </c>
      <c r="J433" s="22">
        <f>IF(A433=720,"60-year model limit","")</f>
        <v/>
      </c>
    </row>
    <row r="434">
      <c r="A434" s="23" t="n">
        <v>418</v>
      </c>
      <c r="B434" s="24">
        <f>EDATE(TODAY(),A434)</f>
        <v/>
      </c>
      <c r="C434" s="25">
        <f>Inputs!$B$5+A434/12</f>
        <v/>
      </c>
      <c r="D434" s="15">
        <f>D433*(1+$B$8)^(1/12)+$B$10</f>
        <v/>
      </c>
      <c r="E434" s="15">
        <f>E433*(1+$B$9)^(1/12)</f>
        <v/>
      </c>
      <c r="F434" s="15">
        <f>D434+E434</f>
        <v/>
      </c>
      <c r="G434" s="15">
        <f>$B$6</f>
        <v/>
      </c>
      <c r="H434" s="15">
        <f>$B$7</f>
        <v/>
      </c>
      <c r="I434" s="22">
        <f>IF(AND(F434&gt;=G434,D434&gt;=H434),"FI reached","")</f>
        <v/>
      </c>
      <c r="J434" s="22">
        <f>IF(A434=720,"60-year model limit","")</f>
        <v/>
      </c>
    </row>
    <row r="435">
      <c r="A435" s="23" t="n">
        <v>419</v>
      </c>
      <c r="B435" s="24">
        <f>EDATE(TODAY(),A435)</f>
        <v/>
      </c>
      <c r="C435" s="25">
        <f>Inputs!$B$5+A435/12</f>
        <v/>
      </c>
      <c r="D435" s="15">
        <f>D434*(1+$B$8)^(1/12)+$B$10</f>
        <v/>
      </c>
      <c r="E435" s="15">
        <f>E434*(1+$B$9)^(1/12)</f>
        <v/>
      </c>
      <c r="F435" s="15">
        <f>D435+E435</f>
        <v/>
      </c>
      <c r="G435" s="15">
        <f>$B$6</f>
        <v/>
      </c>
      <c r="H435" s="15">
        <f>$B$7</f>
        <v/>
      </c>
      <c r="I435" s="22">
        <f>IF(AND(F435&gt;=G435,D435&gt;=H435),"FI reached","")</f>
        <v/>
      </c>
      <c r="J435" s="22">
        <f>IF(A435=720,"60-year model limit","")</f>
        <v/>
      </c>
    </row>
    <row r="436">
      <c r="A436" s="23" t="n">
        <v>420</v>
      </c>
      <c r="B436" s="24">
        <f>EDATE(TODAY(),A436)</f>
        <v/>
      </c>
      <c r="C436" s="25">
        <f>Inputs!$B$5+A436/12</f>
        <v/>
      </c>
      <c r="D436" s="15">
        <f>D435*(1+$B$8)^(1/12)+$B$10</f>
        <v/>
      </c>
      <c r="E436" s="15">
        <f>E435*(1+$B$9)^(1/12)</f>
        <v/>
      </c>
      <c r="F436" s="15">
        <f>D436+E436</f>
        <v/>
      </c>
      <c r="G436" s="15">
        <f>$B$6</f>
        <v/>
      </c>
      <c r="H436" s="15">
        <f>$B$7</f>
        <v/>
      </c>
      <c r="I436" s="22">
        <f>IF(AND(F436&gt;=G436,D436&gt;=H436),"FI reached","")</f>
        <v/>
      </c>
      <c r="J436" s="22">
        <f>IF(A436=720,"60-year model limit","")</f>
        <v/>
      </c>
    </row>
    <row r="437">
      <c r="A437" s="23" t="n">
        <v>421</v>
      </c>
      <c r="B437" s="24">
        <f>EDATE(TODAY(),A437)</f>
        <v/>
      </c>
      <c r="C437" s="25">
        <f>Inputs!$B$5+A437/12</f>
        <v/>
      </c>
      <c r="D437" s="15">
        <f>D436*(1+$B$8)^(1/12)+$B$10</f>
        <v/>
      </c>
      <c r="E437" s="15">
        <f>E436*(1+$B$9)^(1/12)</f>
        <v/>
      </c>
      <c r="F437" s="15">
        <f>D437+E437</f>
        <v/>
      </c>
      <c r="G437" s="15">
        <f>$B$6</f>
        <v/>
      </c>
      <c r="H437" s="15">
        <f>$B$7</f>
        <v/>
      </c>
      <c r="I437" s="22">
        <f>IF(AND(F437&gt;=G437,D437&gt;=H437),"FI reached","")</f>
        <v/>
      </c>
      <c r="J437" s="22">
        <f>IF(A437=720,"60-year model limit","")</f>
        <v/>
      </c>
    </row>
    <row r="438">
      <c r="A438" s="23" t="n">
        <v>422</v>
      </c>
      <c r="B438" s="24">
        <f>EDATE(TODAY(),A438)</f>
        <v/>
      </c>
      <c r="C438" s="25">
        <f>Inputs!$B$5+A438/12</f>
        <v/>
      </c>
      <c r="D438" s="15">
        <f>D437*(1+$B$8)^(1/12)+$B$10</f>
        <v/>
      </c>
      <c r="E438" s="15">
        <f>E437*(1+$B$9)^(1/12)</f>
        <v/>
      </c>
      <c r="F438" s="15">
        <f>D438+E438</f>
        <v/>
      </c>
      <c r="G438" s="15">
        <f>$B$6</f>
        <v/>
      </c>
      <c r="H438" s="15">
        <f>$B$7</f>
        <v/>
      </c>
      <c r="I438" s="22">
        <f>IF(AND(F438&gt;=G438,D438&gt;=H438),"FI reached","")</f>
        <v/>
      </c>
      <c r="J438" s="22">
        <f>IF(A438=720,"60-year model limit","")</f>
        <v/>
      </c>
    </row>
    <row r="439">
      <c r="A439" s="23" t="n">
        <v>423</v>
      </c>
      <c r="B439" s="24">
        <f>EDATE(TODAY(),A439)</f>
        <v/>
      </c>
      <c r="C439" s="25">
        <f>Inputs!$B$5+A439/12</f>
        <v/>
      </c>
      <c r="D439" s="15">
        <f>D438*(1+$B$8)^(1/12)+$B$10</f>
        <v/>
      </c>
      <c r="E439" s="15">
        <f>E438*(1+$B$9)^(1/12)</f>
        <v/>
      </c>
      <c r="F439" s="15">
        <f>D439+E439</f>
        <v/>
      </c>
      <c r="G439" s="15">
        <f>$B$6</f>
        <v/>
      </c>
      <c r="H439" s="15">
        <f>$B$7</f>
        <v/>
      </c>
      <c r="I439" s="22">
        <f>IF(AND(F439&gt;=G439,D439&gt;=H439),"FI reached","")</f>
        <v/>
      </c>
      <c r="J439" s="22">
        <f>IF(A439=720,"60-year model limit","")</f>
        <v/>
      </c>
    </row>
    <row r="440">
      <c r="A440" s="23" t="n">
        <v>424</v>
      </c>
      <c r="B440" s="24">
        <f>EDATE(TODAY(),A440)</f>
        <v/>
      </c>
      <c r="C440" s="25">
        <f>Inputs!$B$5+A440/12</f>
        <v/>
      </c>
      <c r="D440" s="15">
        <f>D439*(1+$B$8)^(1/12)+$B$10</f>
        <v/>
      </c>
      <c r="E440" s="15">
        <f>E439*(1+$B$9)^(1/12)</f>
        <v/>
      </c>
      <c r="F440" s="15">
        <f>D440+E440</f>
        <v/>
      </c>
      <c r="G440" s="15">
        <f>$B$6</f>
        <v/>
      </c>
      <c r="H440" s="15">
        <f>$B$7</f>
        <v/>
      </c>
      <c r="I440" s="22">
        <f>IF(AND(F440&gt;=G440,D440&gt;=H440),"FI reached","")</f>
        <v/>
      </c>
      <c r="J440" s="22">
        <f>IF(A440=720,"60-year model limit","")</f>
        <v/>
      </c>
    </row>
    <row r="441">
      <c r="A441" s="23" t="n">
        <v>425</v>
      </c>
      <c r="B441" s="24">
        <f>EDATE(TODAY(),A441)</f>
        <v/>
      </c>
      <c r="C441" s="25">
        <f>Inputs!$B$5+A441/12</f>
        <v/>
      </c>
      <c r="D441" s="15">
        <f>D440*(1+$B$8)^(1/12)+$B$10</f>
        <v/>
      </c>
      <c r="E441" s="15">
        <f>E440*(1+$B$9)^(1/12)</f>
        <v/>
      </c>
      <c r="F441" s="15">
        <f>D441+E441</f>
        <v/>
      </c>
      <c r="G441" s="15">
        <f>$B$6</f>
        <v/>
      </c>
      <c r="H441" s="15">
        <f>$B$7</f>
        <v/>
      </c>
      <c r="I441" s="22">
        <f>IF(AND(F441&gt;=G441,D441&gt;=H441),"FI reached","")</f>
        <v/>
      </c>
      <c r="J441" s="22">
        <f>IF(A441=720,"60-year model limit","")</f>
        <v/>
      </c>
    </row>
    <row r="442">
      <c r="A442" s="23" t="n">
        <v>426</v>
      </c>
      <c r="B442" s="24">
        <f>EDATE(TODAY(),A442)</f>
        <v/>
      </c>
      <c r="C442" s="25">
        <f>Inputs!$B$5+A442/12</f>
        <v/>
      </c>
      <c r="D442" s="15">
        <f>D441*(1+$B$8)^(1/12)+$B$10</f>
        <v/>
      </c>
      <c r="E442" s="15">
        <f>E441*(1+$B$9)^(1/12)</f>
        <v/>
      </c>
      <c r="F442" s="15">
        <f>D442+E442</f>
        <v/>
      </c>
      <c r="G442" s="15">
        <f>$B$6</f>
        <v/>
      </c>
      <c r="H442" s="15">
        <f>$B$7</f>
        <v/>
      </c>
      <c r="I442" s="22">
        <f>IF(AND(F442&gt;=G442,D442&gt;=H442),"FI reached","")</f>
        <v/>
      </c>
      <c r="J442" s="22">
        <f>IF(A442=720,"60-year model limit","")</f>
        <v/>
      </c>
    </row>
    <row r="443">
      <c r="A443" s="23" t="n">
        <v>427</v>
      </c>
      <c r="B443" s="24">
        <f>EDATE(TODAY(),A443)</f>
        <v/>
      </c>
      <c r="C443" s="25">
        <f>Inputs!$B$5+A443/12</f>
        <v/>
      </c>
      <c r="D443" s="15">
        <f>D442*(1+$B$8)^(1/12)+$B$10</f>
        <v/>
      </c>
      <c r="E443" s="15">
        <f>E442*(1+$B$9)^(1/12)</f>
        <v/>
      </c>
      <c r="F443" s="15">
        <f>D443+E443</f>
        <v/>
      </c>
      <c r="G443" s="15">
        <f>$B$6</f>
        <v/>
      </c>
      <c r="H443" s="15">
        <f>$B$7</f>
        <v/>
      </c>
      <c r="I443" s="22">
        <f>IF(AND(F443&gt;=G443,D443&gt;=H443),"FI reached","")</f>
        <v/>
      </c>
      <c r="J443" s="22">
        <f>IF(A443=720,"60-year model limit","")</f>
        <v/>
      </c>
    </row>
    <row r="444">
      <c r="A444" s="23" t="n">
        <v>428</v>
      </c>
      <c r="B444" s="24">
        <f>EDATE(TODAY(),A444)</f>
        <v/>
      </c>
      <c r="C444" s="25">
        <f>Inputs!$B$5+A444/12</f>
        <v/>
      </c>
      <c r="D444" s="15">
        <f>D443*(1+$B$8)^(1/12)+$B$10</f>
        <v/>
      </c>
      <c r="E444" s="15">
        <f>E443*(1+$B$9)^(1/12)</f>
        <v/>
      </c>
      <c r="F444" s="15">
        <f>D444+E444</f>
        <v/>
      </c>
      <c r="G444" s="15">
        <f>$B$6</f>
        <v/>
      </c>
      <c r="H444" s="15">
        <f>$B$7</f>
        <v/>
      </c>
      <c r="I444" s="22">
        <f>IF(AND(F444&gt;=G444,D444&gt;=H444),"FI reached","")</f>
        <v/>
      </c>
      <c r="J444" s="22">
        <f>IF(A444=720,"60-year model limit","")</f>
        <v/>
      </c>
    </row>
    <row r="445">
      <c r="A445" s="23" t="n">
        <v>429</v>
      </c>
      <c r="B445" s="24">
        <f>EDATE(TODAY(),A445)</f>
        <v/>
      </c>
      <c r="C445" s="25">
        <f>Inputs!$B$5+A445/12</f>
        <v/>
      </c>
      <c r="D445" s="15">
        <f>D444*(1+$B$8)^(1/12)+$B$10</f>
        <v/>
      </c>
      <c r="E445" s="15">
        <f>E444*(1+$B$9)^(1/12)</f>
        <v/>
      </c>
      <c r="F445" s="15">
        <f>D445+E445</f>
        <v/>
      </c>
      <c r="G445" s="15">
        <f>$B$6</f>
        <v/>
      </c>
      <c r="H445" s="15">
        <f>$B$7</f>
        <v/>
      </c>
      <c r="I445" s="22">
        <f>IF(AND(F445&gt;=G445,D445&gt;=H445),"FI reached","")</f>
        <v/>
      </c>
      <c r="J445" s="22">
        <f>IF(A445=720,"60-year model limit","")</f>
        <v/>
      </c>
    </row>
    <row r="446">
      <c r="A446" s="23" t="n">
        <v>430</v>
      </c>
      <c r="B446" s="24">
        <f>EDATE(TODAY(),A446)</f>
        <v/>
      </c>
      <c r="C446" s="25">
        <f>Inputs!$B$5+A446/12</f>
        <v/>
      </c>
      <c r="D446" s="15">
        <f>D445*(1+$B$8)^(1/12)+$B$10</f>
        <v/>
      </c>
      <c r="E446" s="15">
        <f>E445*(1+$B$9)^(1/12)</f>
        <v/>
      </c>
      <c r="F446" s="15">
        <f>D446+E446</f>
        <v/>
      </c>
      <c r="G446" s="15">
        <f>$B$6</f>
        <v/>
      </c>
      <c r="H446" s="15">
        <f>$B$7</f>
        <v/>
      </c>
      <c r="I446" s="22">
        <f>IF(AND(F446&gt;=G446,D446&gt;=H446),"FI reached","")</f>
        <v/>
      </c>
      <c r="J446" s="22">
        <f>IF(A446=720,"60-year model limit","")</f>
        <v/>
      </c>
    </row>
    <row r="447">
      <c r="A447" s="23" t="n">
        <v>431</v>
      </c>
      <c r="B447" s="24">
        <f>EDATE(TODAY(),A447)</f>
        <v/>
      </c>
      <c r="C447" s="25">
        <f>Inputs!$B$5+A447/12</f>
        <v/>
      </c>
      <c r="D447" s="15">
        <f>D446*(1+$B$8)^(1/12)+$B$10</f>
        <v/>
      </c>
      <c r="E447" s="15">
        <f>E446*(1+$B$9)^(1/12)</f>
        <v/>
      </c>
      <c r="F447" s="15">
        <f>D447+E447</f>
        <v/>
      </c>
      <c r="G447" s="15">
        <f>$B$6</f>
        <v/>
      </c>
      <c r="H447" s="15">
        <f>$B$7</f>
        <v/>
      </c>
      <c r="I447" s="22">
        <f>IF(AND(F447&gt;=G447,D447&gt;=H447),"FI reached","")</f>
        <v/>
      </c>
      <c r="J447" s="22">
        <f>IF(A447=720,"60-year model limit","")</f>
        <v/>
      </c>
    </row>
    <row r="448">
      <c r="A448" s="23" t="n">
        <v>432</v>
      </c>
      <c r="B448" s="24">
        <f>EDATE(TODAY(),A448)</f>
        <v/>
      </c>
      <c r="C448" s="25">
        <f>Inputs!$B$5+A448/12</f>
        <v/>
      </c>
      <c r="D448" s="15">
        <f>D447*(1+$B$8)^(1/12)+$B$10</f>
        <v/>
      </c>
      <c r="E448" s="15">
        <f>E447*(1+$B$9)^(1/12)</f>
        <v/>
      </c>
      <c r="F448" s="15">
        <f>D448+E448</f>
        <v/>
      </c>
      <c r="G448" s="15">
        <f>$B$6</f>
        <v/>
      </c>
      <c r="H448" s="15">
        <f>$B$7</f>
        <v/>
      </c>
      <c r="I448" s="22">
        <f>IF(AND(F448&gt;=G448,D448&gt;=H448),"FI reached","")</f>
        <v/>
      </c>
      <c r="J448" s="22">
        <f>IF(A448=720,"60-year model limit","")</f>
        <v/>
      </c>
    </row>
    <row r="449">
      <c r="A449" s="23" t="n">
        <v>433</v>
      </c>
      <c r="B449" s="24">
        <f>EDATE(TODAY(),A449)</f>
        <v/>
      </c>
      <c r="C449" s="25">
        <f>Inputs!$B$5+A449/12</f>
        <v/>
      </c>
      <c r="D449" s="15">
        <f>D448*(1+$B$8)^(1/12)+$B$10</f>
        <v/>
      </c>
      <c r="E449" s="15">
        <f>E448*(1+$B$9)^(1/12)</f>
        <v/>
      </c>
      <c r="F449" s="15">
        <f>D449+E449</f>
        <v/>
      </c>
      <c r="G449" s="15">
        <f>$B$6</f>
        <v/>
      </c>
      <c r="H449" s="15">
        <f>$B$7</f>
        <v/>
      </c>
      <c r="I449" s="22">
        <f>IF(AND(F449&gt;=G449,D449&gt;=H449),"FI reached","")</f>
        <v/>
      </c>
      <c r="J449" s="22">
        <f>IF(A449=720,"60-year model limit","")</f>
        <v/>
      </c>
    </row>
    <row r="450">
      <c r="A450" s="23" t="n">
        <v>434</v>
      </c>
      <c r="B450" s="24">
        <f>EDATE(TODAY(),A450)</f>
        <v/>
      </c>
      <c r="C450" s="25">
        <f>Inputs!$B$5+A450/12</f>
        <v/>
      </c>
      <c r="D450" s="15">
        <f>D449*(1+$B$8)^(1/12)+$B$10</f>
        <v/>
      </c>
      <c r="E450" s="15">
        <f>E449*(1+$B$9)^(1/12)</f>
        <v/>
      </c>
      <c r="F450" s="15">
        <f>D450+E450</f>
        <v/>
      </c>
      <c r="G450" s="15">
        <f>$B$6</f>
        <v/>
      </c>
      <c r="H450" s="15">
        <f>$B$7</f>
        <v/>
      </c>
      <c r="I450" s="22">
        <f>IF(AND(F450&gt;=G450,D450&gt;=H450),"FI reached","")</f>
        <v/>
      </c>
      <c r="J450" s="22">
        <f>IF(A450=720,"60-year model limit","")</f>
        <v/>
      </c>
    </row>
    <row r="451">
      <c r="A451" s="23" t="n">
        <v>435</v>
      </c>
      <c r="B451" s="24">
        <f>EDATE(TODAY(),A451)</f>
        <v/>
      </c>
      <c r="C451" s="25">
        <f>Inputs!$B$5+A451/12</f>
        <v/>
      </c>
      <c r="D451" s="15">
        <f>D450*(1+$B$8)^(1/12)+$B$10</f>
        <v/>
      </c>
      <c r="E451" s="15">
        <f>E450*(1+$B$9)^(1/12)</f>
        <v/>
      </c>
      <c r="F451" s="15">
        <f>D451+E451</f>
        <v/>
      </c>
      <c r="G451" s="15">
        <f>$B$6</f>
        <v/>
      </c>
      <c r="H451" s="15">
        <f>$B$7</f>
        <v/>
      </c>
      <c r="I451" s="22">
        <f>IF(AND(F451&gt;=G451,D451&gt;=H451),"FI reached","")</f>
        <v/>
      </c>
      <c r="J451" s="22">
        <f>IF(A451=720,"60-year model limit","")</f>
        <v/>
      </c>
    </row>
    <row r="452">
      <c r="A452" s="23" t="n">
        <v>436</v>
      </c>
      <c r="B452" s="24">
        <f>EDATE(TODAY(),A452)</f>
        <v/>
      </c>
      <c r="C452" s="25">
        <f>Inputs!$B$5+A452/12</f>
        <v/>
      </c>
      <c r="D452" s="15">
        <f>D451*(1+$B$8)^(1/12)+$B$10</f>
        <v/>
      </c>
      <c r="E452" s="15">
        <f>E451*(1+$B$9)^(1/12)</f>
        <v/>
      </c>
      <c r="F452" s="15">
        <f>D452+E452</f>
        <v/>
      </c>
      <c r="G452" s="15">
        <f>$B$6</f>
        <v/>
      </c>
      <c r="H452" s="15">
        <f>$B$7</f>
        <v/>
      </c>
      <c r="I452" s="22">
        <f>IF(AND(F452&gt;=G452,D452&gt;=H452),"FI reached","")</f>
        <v/>
      </c>
      <c r="J452" s="22">
        <f>IF(A452=720,"60-year model limit","")</f>
        <v/>
      </c>
    </row>
    <row r="453">
      <c r="A453" s="23" t="n">
        <v>437</v>
      </c>
      <c r="B453" s="24">
        <f>EDATE(TODAY(),A453)</f>
        <v/>
      </c>
      <c r="C453" s="25">
        <f>Inputs!$B$5+A453/12</f>
        <v/>
      </c>
      <c r="D453" s="15">
        <f>D452*(1+$B$8)^(1/12)+$B$10</f>
        <v/>
      </c>
      <c r="E453" s="15">
        <f>E452*(1+$B$9)^(1/12)</f>
        <v/>
      </c>
      <c r="F453" s="15">
        <f>D453+E453</f>
        <v/>
      </c>
      <c r="G453" s="15">
        <f>$B$6</f>
        <v/>
      </c>
      <c r="H453" s="15">
        <f>$B$7</f>
        <v/>
      </c>
      <c r="I453" s="22">
        <f>IF(AND(F453&gt;=G453,D453&gt;=H453),"FI reached","")</f>
        <v/>
      </c>
      <c r="J453" s="22">
        <f>IF(A453=720,"60-year model limit","")</f>
        <v/>
      </c>
    </row>
    <row r="454">
      <c r="A454" s="23" t="n">
        <v>438</v>
      </c>
      <c r="B454" s="24">
        <f>EDATE(TODAY(),A454)</f>
        <v/>
      </c>
      <c r="C454" s="25">
        <f>Inputs!$B$5+A454/12</f>
        <v/>
      </c>
      <c r="D454" s="15">
        <f>D453*(1+$B$8)^(1/12)+$B$10</f>
        <v/>
      </c>
      <c r="E454" s="15">
        <f>E453*(1+$B$9)^(1/12)</f>
        <v/>
      </c>
      <c r="F454" s="15">
        <f>D454+E454</f>
        <v/>
      </c>
      <c r="G454" s="15">
        <f>$B$6</f>
        <v/>
      </c>
      <c r="H454" s="15">
        <f>$B$7</f>
        <v/>
      </c>
      <c r="I454" s="22">
        <f>IF(AND(F454&gt;=G454,D454&gt;=H454),"FI reached","")</f>
        <v/>
      </c>
      <c r="J454" s="22">
        <f>IF(A454=720,"60-year model limit","")</f>
        <v/>
      </c>
    </row>
    <row r="455">
      <c r="A455" s="23" t="n">
        <v>439</v>
      </c>
      <c r="B455" s="24">
        <f>EDATE(TODAY(),A455)</f>
        <v/>
      </c>
      <c r="C455" s="25">
        <f>Inputs!$B$5+A455/12</f>
        <v/>
      </c>
      <c r="D455" s="15">
        <f>D454*(1+$B$8)^(1/12)+$B$10</f>
        <v/>
      </c>
      <c r="E455" s="15">
        <f>E454*(1+$B$9)^(1/12)</f>
        <v/>
      </c>
      <c r="F455" s="15">
        <f>D455+E455</f>
        <v/>
      </c>
      <c r="G455" s="15">
        <f>$B$6</f>
        <v/>
      </c>
      <c r="H455" s="15">
        <f>$B$7</f>
        <v/>
      </c>
      <c r="I455" s="22">
        <f>IF(AND(F455&gt;=G455,D455&gt;=H455),"FI reached","")</f>
        <v/>
      </c>
      <c r="J455" s="22">
        <f>IF(A455=720,"60-year model limit","")</f>
        <v/>
      </c>
    </row>
    <row r="456">
      <c r="A456" s="23" t="n">
        <v>440</v>
      </c>
      <c r="B456" s="24">
        <f>EDATE(TODAY(),A456)</f>
        <v/>
      </c>
      <c r="C456" s="25">
        <f>Inputs!$B$5+A456/12</f>
        <v/>
      </c>
      <c r="D456" s="15">
        <f>D455*(1+$B$8)^(1/12)+$B$10</f>
        <v/>
      </c>
      <c r="E456" s="15">
        <f>E455*(1+$B$9)^(1/12)</f>
        <v/>
      </c>
      <c r="F456" s="15">
        <f>D456+E456</f>
        <v/>
      </c>
      <c r="G456" s="15">
        <f>$B$6</f>
        <v/>
      </c>
      <c r="H456" s="15">
        <f>$B$7</f>
        <v/>
      </c>
      <c r="I456" s="22">
        <f>IF(AND(F456&gt;=G456,D456&gt;=H456),"FI reached","")</f>
        <v/>
      </c>
      <c r="J456" s="22">
        <f>IF(A456=720,"60-year model limit","")</f>
        <v/>
      </c>
    </row>
    <row r="457">
      <c r="A457" s="23" t="n">
        <v>441</v>
      </c>
      <c r="B457" s="24">
        <f>EDATE(TODAY(),A457)</f>
        <v/>
      </c>
      <c r="C457" s="25">
        <f>Inputs!$B$5+A457/12</f>
        <v/>
      </c>
      <c r="D457" s="15">
        <f>D456*(1+$B$8)^(1/12)+$B$10</f>
        <v/>
      </c>
      <c r="E457" s="15">
        <f>E456*(1+$B$9)^(1/12)</f>
        <v/>
      </c>
      <c r="F457" s="15">
        <f>D457+E457</f>
        <v/>
      </c>
      <c r="G457" s="15">
        <f>$B$6</f>
        <v/>
      </c>
      <c r="H457" s="15">
        <f>$B$7</f>
        <v/>
      </c>
      <c r="I457" s="22">
        <f>IF(AND(F457&gt;=G457,D457&gt;=H457),"FI reached","")</f>
        <v/>
      </c>
      <c r="J457" s="22">
        <f>IF(A457=720,"60-year model limit","")</f>
        <v/>
      </c>
    </row>
    <row r="458">
      <c r="A458" s="23" t="n">
        <v>442</v>
      </c>
      <c r="B458" s="24">
        <f>EDATE(TODAY(),A458)</f>
        <v/>
      </c>
      <c r="C458" s="25">
        <f>Inputs!$B$5+A458/12</f>
        <v/>
      </c>
      <c r="D458" s="15">
        <f>D457*(1+$B$8)^(1/12)+$B$10</f>
        <v/>
      </c>
      <c r="E458" s="15">
        <f>E457*(1+$B$9)^(1/12)</f>
        <v/>
      </c>
      <c r="F458" s="15">
        <f>D458+E458</f>
        <v/>
      </c>
      <c r="G458" s="15">
        <f>$B$6</f>
        <v/>
      </c>
      <c r="H458" s="15">
        <f>$B$7</f>
        <v/>
      </c>
      <c r="I458" s="22">
        <f>IF(AND(F458&gt;=G458,D458&gt;=H458),"FI reached","")</f>
        <v/>
      </c>
      <c r="J458" s="22">
        <f>IF(A458=720,"60-year model limit","")</f>
        <v/>
      </c>
    </row>
    <row r="459">
      <c r="A459" s="23" t="n">
        <v>443</v>
      </c>
      <c r="B459" s="24">
        <f>EDATE(TODAY(),A459)</f>
        <v/>
      </c>
      <c r="C459" s="25">
        <f>Inputs!$B$5+A459/12</f>
        <v/>
      </c>
      <c r="D459" s="15">
        <f>D458*(1+$B$8)^(1/12)+$B$10</f>
        <v/>
      </c>
      <c r="E459" s="15">
        <f>E458*(1+$B$9)^(1/12)</f>
        <v/>
      </c>
      <c r="F459" s="15">
        <f>D459+E459</f>
        <v/>
      </c>
      <c r="G459" s="15">
        <f>$B$6</f>
        <v/>
      </c>
      <c r="H459" s="15">
        <f>$B$7</f>
        <v/>
      </c>
      <c r="I459" s="22">
        <f>IF(AND(F459&gt;=G459,D459&gt;=H459),"FI reached","")</f>
        <v/>
      </c>
      <c r="J459" s="22">
        <f>IF(A459=720,"60-year model limit","")</f>
        <v/>
      </c>
    </row>
    <row r="460">
      <c r="A460" s="23" t="n">
        <v>444</v>
      </c>
      <c r="B460" s="24">
        <f>EDATE(TODAY(),A460)</f>
        <v/>
      </c>
      <c r="C460" s="25">
        <f>Inputs!$B$5+A460/12</f>
        <v/>
      </c>
      <c r="D460" s="15">
        <f>D459*(1+$B$8)^(1/12)+$B$10</f>
        <v/>
      </c>
      <c r="E460" s="15">
        <f>E459*(1+$B$9)^(1/12)</f>
        <v/>
      </c>
      <c r="F460" s="15">
        <f>D460+E460</f>
        <v/>
      </c>
      <c r="G460" s="15">
        <f>$B$6</f>
        <v/>
      </c>
      <c r="H460" s="15">
        <f>$B$7</f>
        <v/>
      </c>
      <c r="I460" s="22">
        <f>IF(AND(F460&gt;=G460,D460&gt;=H460),"FI reached","")</f>
        <v/>
      </c>
      <c r="J460" s="22">
        <f>IF(A460=720,"60-year model limit","")</f>
        <v/>
      </c>
    </row>
    <row r="461">
      <c r="A461" s="23" t="n">
        <v>445</v>
      </c>
      <c r="B461" s="24">
        <f>EDATE(TODAY(),A461)</f>
        <v/>
      </c>
      <c r="C461" s="25">
        <f>Inputs!$B$5+A461/12</f>
        <v/>
      </c>
      <c r="D461" s="15">
        <f>D460*(1+$B$8)^(1/12)+$B$10</f>
        <v/>
      </c>
      <c r="E461" s="15">
        <f>E460*(1+$B$9)^(1/12)</f>
        <v/>
      </c>
      <c r="F461" s="15">
        <f>D461+E461</f>
        <v/>
      </c>
      <c r="G461" s="15">
        <f>$B$6</f>
        <v/>
      </c>
      <c r="H461" s="15">
        <f>$B$7</f>
        <v/>
      </c>
      <c r="I461" s="22">
        <f>IF(AND(F461&gt;=G461,D461&gt;=H461),"FI reached","")</f>
        <v/>
      </c>
      <c r="J461" s="22">
        <f>IF(A461=720,"60-year model limit","")</f>
        <v/>
      </c>
    </row>
    <row r="462">
      <c r="A462" s="23" t="n">
        <v>446</v>
      </c>
      <c r="B462" s="24">
        <f>EDATE(TODAY(),A462)</f>
        <v/>
      </c>
      <c r="C462" s="25">
        <f>Inputs!$B$5+A462/12</f>
        <v/>
      </c>
      <c r="D462" s="15">
        <f>D461*(1+$B$8)^(1/12)+$B$10</f>
        <v/>
      </c>
      <c r="E462" s="15">
        <f>E461*(1+$B$9)^(1/12)</f>
        <v/>
      </c>
      <c r="F462" s="15">
        <f>D462+E462</f>
        <v/>
      </c>
      <c r="G462" s="15">
        <f>$B$6</f>
        <v/>
      </c>
      <c r="H462" s="15">
        <f>$B$7</f>
        <v/>
      </c>
      <c r="I462" s="22">
        <f>IF(AND(F462&gt;=G462,D462&gt;=H462),"FI reached","")</f>
        <v/>
      </c>
      <c r="J462" s="22">
        <f>IF(A462=720,"60-year model limit","")</f>
        <v/>
      </c>
    </row>
    <row r="463">
      <c r="A463" s="23" t="n">
        <v>447</v>
      </c>
      <c r="B463" s="24">
        <f>EDATE(TODAY(),A463)</f>
        <v/>
      </c>
      <c r="C463" s="25">
        <f>Inputs!$B$5+A463/12</f>
        <v/>
      </c>
      <c r="D463" s="15">
        <f>D462*(1+$B$8)^(1/12)+$B$10</f>
        <v/>
      </c>
      <c r="E463" s="15">
        <f>E462*(1+$B$9)^(1/12)</f>
        <v/>
      </c>
      <c r="F463" s="15">
        <f>D463+E463</f>
        <v/>
      </c>
      <c r="G463" s="15">
        <f>$B$6</f>
        <v/>
      </c>
      <c r="H463" s="15">
        <f>$B$7</f>
        <v/>
      </c>
      <c r="I463" s="22">
        <f>IF(AND(F463&gt;=G463,D463&gt;=H463),"FI reached","")</f>
        <v/>
      </c>
      <c r="J463" s="22">
        <f>IF(A463=720,"60-year model limit","")</f>
        <v/>
      </c>
    </row>
    <row r="464">
      <c r="A464" s="23" t="n">
        <v>448</v>
      </c>
      <c r="B464" s="24">
        <f>EDATE(TODAY(),A464)</f>
        <v/>
      </c>
      <c r="C464" s="25">
        <f>Inputs!$B$5+A464/12</f>
        <v/>
      </c>
      <c r="D464" s="15">
        <f>D463*(1+$B$8)^(1/12)+$B$10</f>
        <v/>
      </c>
      <c r="E464" s="15">
        <f>E463*(1+$B$9)^(1/12)</f>
        <v/>
      </c>
      <c r="F464" s="15">
        <f>D464+E464</f>
        <v/>
      </c>
      <c r="G464" s="15">
        <f>$B$6</f>
        <v/>
      </c>
      <c r="H464" s="15">
        <f>$B$7</f>
        <v/>
      </c>
      <c r="I464" s="22">
        <f>IF(AND(F464&gt;=G464,D464&gt;=H464),"FI reached","")</f>
        <v/>
      </c>
      <c r="J464" s="22">
        <f>IF(A464=720,"60-year model limit","")</f>
        <v/>
      </c>
    </row>
    <row r="465">
      <c r="A465" s="23" t="n">
        <v>449</v>
      </c>
      <c r="B465" s="24">
        <f>EDATE(TODAY(),A465)</f>
        <v/>
      </c>
      <c r="C465" s="25">
        <f>Inputs!$B$5+A465/12</f>
        <v/>
      </c>
      <c r="D465" s="15">
        <f>D464*(1+$B$8)^(1/12)+$B$10</f>
        <v/>
      </c>
      <c r="E465" s="15">
        <f>E464*(1+$B$9)^(1/12)</f>
        <v/>
      </c>
      <c r="F465" s="15">
        <f>D465+E465</f>
        <v/>
      </c>
      <c r="G465" s="15">
        <f>$B$6</f>
        <v/>
      </c>
      <c r="H465" s="15">
        <f>$B$7</f>
        <v/>
      </c>
      <c r="I465" s="22">
        <f>IF(AND(F465&gt;=G465,D465&gt;=H465),"FI reached","")</f>
        <v/>
      </c>
      <c r="J465" s="22">
        <f>IF(A465=720,"60-year model limit","")</f>
        <v/>
      </c>
    </row>
    <row r="466">
      <c r="A466" s="23" t="n">
        <v>450</v>
      </c>
      <c r="B466" s="24">
        <f>EDATE(TODAY(),A466)</f>
        <v/>
      </c>
      <c r="C466" s="25">
        <f>Inputs!$B$5+A466/12</f>
        <v/>
      </c>
      <c r="D466" s="15">
        <f>D465*(1+$B$8)^(1/12)+$B$10</f>
        <v/>
      </c>
      <c r="E466" s="15">
        <f>E465*(1+$B$9)^(1/12)</f>
        <v/>
      </c>
      <c r="F466" s="15">
        <f>D466+E466</f>
        <v/>
      </c>
      <c r="G466" s="15">
        <f>$B$6</f>
        <v/>
      </c>
      <c r="H466" s="15">
        <f>$B$7</f>
        <v/>
      </c>
      <c r="I466" s="22">
        <f>IF(AND(F466&gt;=G466,D466&gt;=H466),"FI reached","")</f>
        <v/>
      </c>
      <c r="J466" s="22">
        <f>IF(A466=720,"60-year model limit","")</f>
        <v/>
      </c>
    </row>
    <row r="467">
      <c r="A467" s="23" t="n">
        <v>451</v>
      </c>
      <c r="B467" s="24">
        <f>EDATE(TODAY(),A467)</f>
        <v/>
      </c>
      <c r="C467" s="25">
        <f>Inputs!$B$5+A467/12</f>
        <v/>
      </c>
      <c r="D467" s="15">
        <f>D466*(1+$B$8)^(1/12)+$B$10</f>
        <v/>
      </c>
      <c r="E467" s="15">
        <f>E466*(1+$B$9)^(1/12)</f>
        <v/>
      </c>
      <c r="F467" s="15">
        <f>D467+E467</f>
        <v/>
      </c>
      <c r="G467" s="15">
        <f>$B$6</f>
        <v/>
      </c>
      <c r="H467" s="15">
        <f>$B$7</f>
        <v/>
      </c>
      <c r="I467" s="22">
        <f>IF(AND(F467&gt;=G467,D467&gt;=H467),"FI reached","")</f>
        <v/>
      </c>
      <c r="J467" s="22">
        <f>IF(A467=720,"60-year model limit","")</f>
        <v/>
      </c>
    </row>
    <row r="468">
      <c r="A468" s="23" t="n">
        <v>452</v>
      </c>
      <c r="B468" s="24">
        <f>EDATE(TODAY(),A468)</f>
        <v/>
      </c>
      <c r="C468" s="25">
        <f>Inputs!$B$5+A468/12</f>
        <v/>
      </c>
      <c r="D468" s="15">
        <f>D467*(1+$B$8)^(1/12)+$B$10</f>
        <v/>
      </c>
      <c r="E468" s="15">
        <f>E467*(1+$B$9)^(1/12)</f>
        <v/>
      </c>
      <c r="F468" s="15">
        <f>D468+E468</f>
        <v/>
      </c>
      <c r="G468" s="15">
        <f>$B$6</f>
        <v/>
      </c>
      <c r="H468" s="15">
        <f>$B$7</f>
        <v/>
      </c>
      <c r="I468" s="22">
        <f>IF(AND(F468&gt;=G468,D468&gt;=H468),"FI reached","")</f>
        <v/>
      </c>
      <c r="J468" s="22">
        <f>IF(A468=720,"60-year model limit","")</f>
        <v/>
      </c>
    </row>
    <row r="469">
      <c r="A469" s="23" t="n">
        <v>453</v>
      </c>
      <c r="B469" s="24">
        <f>EDATE(TODAY(),A469)</f>
        <v/>
      </c>
      <c r="C469" s="25">
        <f>Inputs!$B$5+A469/12</f>
        <v/>
      </c>
      <c r="D469" s="15">
        <f>D468*(1+$B$8)^(1/12)+$B$10</f>
        <v/>
      </c>
      <c r="E469" s="15">
        <f>E468*(1+$B$9)^(1/12)</f>
        <v/>
      </c>
      <c r="F469" s="15">
        <f>D469+E469</f>
        <v/>
      </c>
      <c r="G469" s="15">
        <f>$B$6</f>
        <v/>
      </c>
      <c r="H469" s="15">
        <f>$B$7</f>
        <v/>
      </c>
      <c r="I469" s="22">
        <f>IF(AND(F469&gt;=G469,D469&gt;=H469),"FI reached","")</f>
        <v/>
      </c>
      <c r="J469" s="22">
        <f>IF(A469=720,"60-year model limit","")</f>
        <v/>
      </c>
    </row>
    <row r="470">
      <c r="A470" s="23" t="n">
        <v>454</v>
      </c>
      <c r="B470" s="24">
        <f>EDATE(TODAY(),A470)</f>
        <v/>
      </c>
      <c r="C470" s="25">
        <f>Inputs!$B$5+A470/12</f>
        <v/>
      </c>
      <c r="D470" s="15">
        <f>D469*(1+$B$8)^(1/12)+$B$10</f>
        <v/>
      </c>
      <c r="E470" s="15">
        <f>E469*(1+$B$9)^(1/12)</f>
        <v/>
      </c>
      <c r="F470" s="15">
        <f>D470+E470</f>
        <v/>
      </c>
      <c r="G470" s="15">
        <f>$B$6</f>
        <v/>
      </c>
      <c r="H470" s="15">
        <f>$B$7</f>
        <v/>
      </c>
      <c r="I470" s="22">
        <f>IF(AND(F470&gt;=G470,D470&gt;=H470),"FI reached","")</f>
        <v/>
      </c>
      <c r="J470" s="22">
        <f>IF(A470=720,"60-year model limit","")</f>
        <v/>
      </c>
    </row>
    <row r="471">
      <c r="A471" s="23" t="n">
        <v>455</v>
      </c>
      <c r="B471" s="24">
        <f>EDATE(TODAY(),A471)</f>
        <v/>
      </c>
      <c r="C471" s="25">
        <f>Inputs!$B$5+A471/12</f>
        <v/>
      </c>
      <c r="D471" s="15">
        <f>D470*(1+$B$8)^(1/12)+$B$10</f>
        <v/>
      </c>
      <c r="E471" s="15">
        <f>E470*(1+$B$9)^(1/12)</f>
        <v/>
      </c>
      <c r="F471" s="15">
        <f>D471+E471</f>
        <v/>
      </c>
      <c r="G471" s="15">
        <f>$B$6</f>
        <v/>
      </c>
      <c r="H471" s="15">
        <f>$B$7</f>
        <v/>
      </c>
      <c r="I471" s="22">
        <f>IF(AND(F471&gt;=G471,D471&gt;=H471),"FI reached","")</f>
        <v/>
      </c>
      <c r="J471" s="22">
        <f>IF(A471=720,"60-year model limit","")</f>
        <v/>
      </c>
    </row>
    <row r="472">
      <c r="A472" s="23" t="n">
        <v>456</v>
      </c>
      <c r="B472" s="24">
        <f>EDATE(TODAY(),A472)</f>
        <v/>
      </c>
      <c r="C472" s="25">
        <f>Inputs!$B$5+A472/12</f>
        <v/>
      </c>
      <c r="D472" s="15">
        <f>D471*(1+$B$8)^(1/12)+$B$10</f>
        <v/>
      </c>
      <c r="E472" s="15">
        <f>E471*(1+$B$9)^(1/12)</f>
        <v/>
      </c>
      <c r="F472" s="15">
        <f>D472+E472</f>
        <v/>
      </c>
      <c r="G472" s="15">
        <f>$B$6</f>
        <v/>
      </c>
      <c r="H472" s="15">
        <f>$B$7</f>
        <v/>
      </c>
      <c r="I472" s="22">
        <f>IF(AND(F472&gt;=G472,D472&gt;=H472),"FI reached","")</f>
        <v/>
      </c>
      <c r="J472" s="22">
        <f>IF(A472=720,"60-year model limit","")</f>
        <v/>
      </c>
    </row>
    <row r="473">
      <c r="A473" s="23" t="n">
        <v>457</v>
      </c>
      <c r="B473" s="24">
        <f>EDATE(TODAY(),A473)</f>
        <v/>
      </c>
      <c r="C473" s="25">
        <f>Inputs!$B$5+A473/12</f>
        <v/>
      </c>
      <c r="D473" s="15">
        <f>D472*(1+$B$8)^(1/12)+$B$10</f>
        <v/>
      </c>
      <c r="E473" s="15">
        <f>E472*(1+$B$9)^(1/12)</f>
        <v/>
      </c>
      <c r="F473" s="15">
        <f>D473+E473</f>
        <v/>
      </c>
      <c r="G473" s="15">
        <f>$B$6</f>
        <v/>
      </c>
      <c r="H473" s="15">
        <f>$B$7</f>
        <v/>
      </c>
      <c r="I473" s="22">
        <f>IF(AND(F473&gt;=G473,D473&gt;=H473),"FI reached","")</f>
        <v/>
      </c>
      <c r="J473" s="22">
        <f>IF(A473=720,"60-year model limit","")</f>
        <v/>
      </c>
    </row>
    <row r="474">
      <c r="A474" s="23" t="n">
        <v>458</v>
      </c>
      <c r="B474" s="24">
        <f>EDATE(TODAY(),A474)</f>
        <v/>
      </c>
      <c r="C474" s="25">
        <f>Inputs!$B$5+A474/12</f>
        <v/>
      </c>
      <c r="D474" s="15">
        <f>D473*(1+$B$8)^(1/12)+$B$10</f>
        <v/>
      </c>
      <c r="E474" s="15">
        <f>E473*(1+$B$9)^(1/12)</f>
        <v/>
      </c>
      <c r="F474" s="15">
        <f>D474+E474</f>
        <v/>
      </c>
      <c r="G474" s="15">
        <f>$B$6</f>
        <v/>
      </c>
      <c r="H474" s="15">
        <f>$B$7</f>
        <v/>
      </c>
      <c r="I474" s="22">
        <f>IF(AND(F474&gt;=G474,D474&gt;=H474),"FI reached","")</f>
        <v/>
      </c>
      <c r="J474" s="22">
        <f>IF(A474=720,"60-year model limit","")</f>
        <v/>
      </c>
    </row>
    <row r="475">
      <c r="A475" s="23" t="n">
        <v>459</v>
      </c>
      <c r="B475" s="24">
        <f>EDATE(TODAY(),A475)</f>
        <v/>
      </c>
      <c r="C475" s="25">
        <f>Inputs!$B$5+A475/12</f>
        <v/>
      </c>
      <c r="D475" s="15">
        <f>D474*(1+$B$8)^(1/12)+$B$10</f>
        <v/>
      </c>
      <c r="E475" s="15">
        <f>E474*(1+$B$9)^(1/12)</f>
        <v/>
      </c>
      <c r="F475" s="15">
        <f>D475+E475</f>
        <v/>
      </c>
      <c r="G475" s="15">
        <f>$B$6</f>
        <v/>
      </c>
      <c r="H475" s="15">
        <f>$B$7</f>
        <v/>
      </c>
      <c r="I475" s="22">
        <f>IF(AND(F475&gt;=G475,D475&gt;=H475),"FI reached","")</f>
        <v/>
      </c>
      <c r="J475" s="22">
        <f>IF(A475=720,"60-year model limit","")</f>
        <v/>
      </c>
    </row>
    <row r="476">
      <c r="A476" s="23" t="n">
        <v>460</v>
      </c>
      <c r="B476" s="24">
        <f>EDATE(TODAY(),A476)</f>
        <v/>
      </c>
      <c r="C476" s="25">
        <f>Inputs!$B$5+A476/12</f>
        <v/>
      </c>
      <c r="D476" s="15">
        <f>D475*(1+$B$8)^(1/12)+$B$10</f>
        <v/>
      </c>
      <c r="E476" s="15">
        <f>E475*(1+$B$9)^(1/12)</f>
        <v/>
      </c>
      <c r="F476" s="15">
        <f>D476+E476</f>
        <v/>
      </c>
      <c r="G476" s="15">
        <f>$B$6</f>
        <v/>
      </c>
      <c r="H476" s="15">
        <f>$B$7</f>
        <v/>
      </c>
      <c r="I476" s="22">
        <f>IF(AND(F476&gt;=G476,D476&gt;=H476),"FI reached","")</f>
        <v/>
      </c>
      <c r="J476" s="22">
        <f>IF(A476=720,"60-year model limit","")</f>
        <v/>
      </c>
    </row>
    <row r="477">
      <c r="A477" s="23" t="n">
        <v>461</v>
      </c>
      <c r="B477" s="24">
        <f>EDATE(TODAY(),A477)</f>
        <v/>
      </c>
      <c r="C477" s="25">
        <f>Inputs!$B$5+A477/12</f>
        <v/>
      </c>
      <c r="D477" s="15">
        <f>D476*(1+$B$8)^(1/12)+$B$10</f>
        <v/>
      </c>
      <c r="E477" s="15">
        <f>E476*(1+$B$9)^(1/12)</f>
        <v/>
      </c>
      <c r="F477" s="15">
        <f>D477+E477</f>
        <v/>
      </c>
      <c r="G477" s="15">
        <f>$B$6</f>
        <v/>
      </c>
      <c r="H477" s="15">
        <f>$B$7</f>
        <v/>
      </c>
      <c r="I477" s="22">
        <f>IF(AND(F477&gt;=G477,D477&gt;=H477),"FI reached","")</f>
        <v/>
      </c>
      <c r="J477" s="22">
        <f>IF(A477=720,"60-year model limit","")</f>
        <v/>
      </c>
    </row>
    <row r="478">
      <c r="A478" s="23" t="n">
        <v>462</v>
      </c>
      <c r="B478" s="24">
        <f>EDATE(TODAY(),A478)</f>
        <v/>
      </c>
      <c r="C478" s="25">
        <f>Inputs!$B$5+A478/12</f>
        <v/>
      </c>
      <c r="D478" s="15">
        <f>D477*(1+$B$8)^(1/12)+$B$10</f>
        <v/>
      </c>
      <c r="E478" s="15">
        <f>E477*(1+$B$9)^(1/12)</f>
        <v/>
      </c>
      <c r="F478" s="15">
        <f>D478+E478</f>
        <v/>
      </c>
      <c r="G478" s="15">
        <f>$B$6</f>
        <v/>
      </c>
      <c r="H478" s="15">
        <f>$B$7</f>
        <v/>
      </c>
      <c r="I478" s="22">
        <f>IF(AND(F478&gt;=G478,D478&gt;=H478),"FI reached","")</f>
        <v/>
      </c>
      <c r="J478" s="22">
        <f>IF(A478=720,"60-year model limit","")</f>
        <v/>
      </c>
    </row>
    <row r="479">
      <c r="A479" s="23" t="n">
        <v>463</v>
      </c>
      <c r="B479" s="24">
        <f>EDATE(TODAY(),A479)</f>
        <v/>
      </c>
      <c r="C479" s="25">
        <f>Inputs!$B$5+A479/12</f>
        <v/>
      </c>
      <c r="D479" s="15">
        <f>D478*(1+$B$8)^(1/12)+$B$10</f>
        <v/>
      </c>
      <c r="E479" s="15">
        <f>E478*(1+$B$9)^(1/12)</f>
        <v/>
      </c>
      <c r="F479" s="15">
        <f>D479+E479</f>
        <v/>
      </c>
      <c r="G479" s="15">
        <f>$B$6</f>
        <v/>
      </c>
      <c r="H479" s="15">
        <f>$B$7</f>
        <v/>
      </c>
      <c r="I479" s="22">
        <f>IF(AND(F479&gt;=G479,D479&gt;=H479),"FI reached","")</f>
        <v/>
      </c>
      <c r="J479" s="22">
        <f>IF(A479=720,"60-year model limit","")</f>
        <v/>
      </c>
    </row>
    <row r="480">
      <c r="A480" s="23" t="n">
        <v>464</v>
      </c>
      <c r="B480" s="24">
        <f>EDATE(TODAY(),A480)</f>
        <v/>
      </c>
      <c r="C480" s="25">
        <f>Inputs!$B$5+A480/12</f>
        <v/>
      </c>
      <c r="D480" s="15">
        <f>D479*(1+$B$8)^(1/12)+$B$10</f>
        <v/>
      </c>
      <c r="E480" s="15">
        <f>E479*(1+$B$9)^(1/12)</f>
        <v/>
      </c>
      <c r="F480" s="15">
        <f>D480+E480</f>
        <v/>
      </c>
      <c r="G480" s="15">
        <f>$B$6</f>
        <v/>
      </c>
      <c r="H480" s="15">
        <f>$B$7</f>
        <v/>
      </c>
      <c r="I480" s="22">
        <f>IF(AND(F480&gt;=G480,D480&gt;=H480),"FI reached","")</f>
        <v/>
      </c>
      <c r="J480" s="22">
        <f>IF(A480=720,"60-year model limit","")</f>
        <v/>
      </c>
    </row>
    <row r="481">
      <c r="A481" s="23" t="n">
        <v>465</v>
      </c>
      <c r="B481" s="24">
        <f>EDATE(TODAY(),A481)</f>
        <v/>
      </c>
      <c r="C481" s="25">
        <f>Inputs!$B$5+A481/12</f>
        <v/>
      </c>
      <c r="D481" s="15">
        <f>D480*(1+$B$8)^(1/12)+$B$10</f>
        <v/>
      </c>
      <c r="E481" s="15">
        <f>E480*(1+$B$9)^(1/12)</f>
        <v/>
      </c>
      <c r="F481" s="15">
        <f>D481+E481</f>
        <v/>
      </c>
      <c r="G481" s="15">
        <f>$B$6</f>
        <v/>
      </c>
      <c r="H481" s="15">
        <f>$B$7</f>
        <v/>
      </c>
      <c r="I481" s="22">
        <f>IF(AND(F481&gt;=G481,D481&gt;=H481),"FI reached","")</f>
        <v/>
      </c>
      <c r="J481" s="22">
        <f>IF(A481=720,"60-year model limit","")</f>
        <v/>
      </c>
    </row>
    <row r="482">
      <c r="A482" s="23" t="n">
        <v>466</v>
      </c>
      <c r="B482" s="24">
        <f>EDATE(TODAY(),A482)</f>
        <v/>
      </c>
      <c r="C482" s="25">
        <f>Inputs!$B$5+A482/12</f>
        <v/>
      </c>
      <c r="D482" s="15">
        <f>D481*(1+$B$8)^(1/12)+$B$10</f>
        <v/>
      </c>
      <c r="E482" s="15">
        <f>E481*(1+$B$9)^(1/12)</f>
        <v/>
      </c>
      <c r="F482" s="15">
        <f>D482+E482</f>
        <v/>
      </c>
      <c r="G482" s="15">
        <f>$B$6</f>
        <v/>
      </c>
      <c r="H482" s="15">
        <f>$B$7</f>
        <v/>
      </c>
      <c r="I482" s="22">
        <f>IF(AND(F482&gt;=G482,D482&gt;=H482),"FI reached","")</f>
        <v/>
      </c>
      <c r="J482" s="22">
        <f>IF(A482=720,"60-year model limit","")</f>
        <v/>
      </c>
    </row>
    <row r="483">
      <c r="A483" s="23" t="n">
        <v>467</v>
      </c>
      <c r="B483" s="24">
        <f>EDATE(TODAY(),A483)</f>
        <v/>
      </c>
      <c r="C483" s="25">
        <f>Inputs!$B$5+A483/12</f>
        <v/>
      </c>
      <c r="D483" s="15">
        <f>D482*(1+$B$8)^(1/12)+$B$10</f>
        <v/>
      </c>
      <c r="E483" s="15">
        <f>E482*(1+$B$9)^(1/12)</f>
        <v/>
      </c>
      <c r="F483" s="15">
        <f>D483+E483</f>
        <v/>
      </c>
      <c r="G483" s="15">
        <f>$B$6</f>
        <v/>
      </c>
      <c r="H483" s="15">
        <f>$B$7</f>
        <v/>
      </c>
      <c r="I483" s="22">
        <f>IF(AND(F483&gt;=G483,D483&gt;=H483),"FI reached","")</f>
        <v/>
      </c>
      <c r="J483" s="22">
        <f>IF(A483=720,"60-year model limit","")</f>
        <v/>
      </c>
    </row>
    <row r="484">
      <c r="A484" s="23" t="n">
        <v>468</v>
      </c>
      <c r="B484" s="24">
        <f>EDATE(TODAY(),A484)</f>
        <v/>
      </c>
      <c r="C484" s="25">
        <f>Inputs!$B$5+A484/12</f>
        <v/>
      </c>
      <c r="D484" s="15">
        <f>D483*(1+$B$8)^(1/12)+$B$10</f>
        <v/>
      </c>
      <c r="E484" s="15">
        <f>E483*(1+$B$9)^(1/12)</f>
        <v/>
      </c>
      <c r="F484" s="15">
        <f>D484+E484</f>
        <v/>
      </c>
      <c r="G484" s="15">
        <f>$B$6</f>
        <v/>
      </c>
      <c r="H484" s="15">
        <f>$B$7</f>
        <v/>
      </c>
      <c r="I484" s="22">
        <f>IF(AND(F484&gt;=G484,D484&gt;=H484),"FI reached","")</f>
        <v/>
      </c>
      <c r="J484" s="22">
        <f>IF(A484=720,"60-year model limit","")</f>
        <v/>
      </c>
    </row>
    <row r="485">
      <c r="A485" s="23" t="n">
        <v>469</v>
      </c>
      <c r="B485" s="24">
        <f>EDATE(TODAY(),A485)</f>
        <v/>
      </c>
      <c r="C485" s="25">
        <f>Inputs!$B$5+A485/12</f>
        <v/>
      </c>
      <c r="D485" s="15">
        <f>D484*(1+$B$8)^(1/12)+$B$10</f>
        <v/>
      </c>
      <c r="E485" s="15">
        <f>E484*(1+$B$9)^(1/12)</f>
        <v/>
      </c>
      <c r="F485" s="15">
        <f>D485+E485</f>
        <v/>
      </c>
      <c r="G485" s="15">
        <f>$B$6</f>
        <v/>
      </c>
      <c r="H485" s="15">
        <f>$B$7</f>
        <v/>
      </c>
      <c r="I485" s="22">
        <f>IF(AND(F485&gt;=G485,D485&gt;=H485),"FI reached","")</f>
        <v/>
      </c>
      <c r="J485" s="22">
        <f>IF(A485=720,"60-year model limit","")</f>
        <v/>
      </c>
    </row>
    <row r="486">
      <c r="A486" s="23" t="n">
        <v>470</v>
      </c>
      <c r="B486" s="24">
        <f>EDATE(TODAY(),A486)</f>
        <v/>
      </c>
      <c r="C486" s="25">
        <f>Inputs!$B$5+A486/12</f>
        <v/>
      </c>
      <c r="D486" s="15">
        <f>D485*(1+$B$8)^(1/12)+$B$10</f>
        <v/>
      </c>
      <c r="E486" s="15">
        <f>E485*(1+$B$9)^(1/12)</f>
        <v/>
      </c>
      <c r="F486" s="15">
        <f>D486+E486</f>
        <v/>
      </c>
      <c r="G486" s="15">
        <f>$B$6</f>
        <v/>
      </c>
      <c r="H486" s="15">
        <f>$B$7</f>
        <v/>
      </c>
      <c r="I486" s="22">
        <f>IF(AND(F486&gt;=G486,D486&gt;=H486),"FI reached","")</f>
        <v/>
      </c>
      <c r="J486" s="22">
        <f>IF(A486=720,"60-year model limit","")</f>
        <v/>
      </c>
    </row>
    <row r="487">
      <c r="A487" s="23" t="n">
        <v>471</v>
      </c>
      <c r="B487" s="24">
        <f>EDATE(TODAY(),A487)</f>
        <v/>
      </c>
      <c r="C487" s="25">
        <f>Inputs!$B$5+A487/12</f>
        <v/>
      </c>
      <c r="D487" s="15">
        <f>D486*(1+$B$8)^(1/12)+$B$10</f>
        <v/>
      </c>
      <c r="E487" s="15">
        <f>E486*(1+$B$9)^(1/12)</f>
        <v/>
      </c>
      <c r="F487" s="15">
        <f>D487+E487</f>
        <v/>
      </c>
      <c r="G487" s="15">
        <f>$B$6</f>
        <v/>
      </c>
      <c r="H487" s="15">
        <f>$B$7</f>
        <v/>
      </c>
      <c r="I487" s="22">
        <f>IF(AND(F487&gt;=G487,D487&gt;=H487),"FI reached","")</f>
        <v/>
      </c>
      <c r="J487" s="22">
        <f>IF(A487=720,"60-year model limit","")</f>
        <v/>
      </c>
    </row>
    <row r="488">
      <c r="A488" s="23" t="n">
        <v>472</v>
      </c>
      <c r="B488" s="24">
        <f>EDATE(TODAY(),A488)</f>
        <v/>
      </c>
      <c r="C488" s="25">
        <f>Inputs!$B$5+A488/12</f>
        <v/>
      </c>
      <c r="D488" s="15">
        <f>D487*(1+$B$8)^(1/12)+$B$10</f>
        <v/>
      </c>
      <c r="E488" s="15">
        <f>E487*(1+$B$9)^(1/12)</f>
        <v/>
      </c>
      <c r="F488" s="15">
        <f>D488+E488</f>
        <v/>
      </c>
      <c r="G488" s="15">
        <f>$B$6</f>
        <v/>
      </c>
      <c r="H488" s="15">
        <f>$B$7</f>
        <v/>
      </c>
      <c r="I488" s="22">
        <f>IF(AND(F488&gt;=G488,D488&gt;=H488),"FI reached","")</f>
        <v/>
      </c>
      <c r="J488" s="22">
        <f>IF(A488=720,"60-year model limit","")</f>
        <v/>
      </c>
    </row>
    <row r="489">
      <c r="A489" s="23" t="n">
        <v>473</v>
      </c>
      <c r="B489" s="24">
        <f>EDATE(TODAY(),A489)</f>
        <v/>
      </c>
      <c r="C489" s="25">
        <f>Inputs!$B$5+A489/12</f>
        <v/>
      </c>
      <c r="D489" s="15">
        <f>D488*(1+$B$8)^(1/12)+$B$10</f>
        <v/>
      </c>
      <c r="E489" s="15">
        <f>E488*(1+$B$9)^(1/12)</f>
        <v/>
      </c>
      <c r="F489" s="15">
        <f>D489+E489</f>
        <v/>
      </c>
      <c r="G489" s="15">
        <f>$B$6</f>
        <v/>
      </c>
      <c r="H489" s="15">
        <f>$B$7</f>
        <v/>
      </c>
      <c r="I489" s="22">
        <f>IF(AND(F489&gt;=G489,D489&gt;=H489),"FI reached","")</f>
        <v/>
      </c>
      <c r="J489" s="22">
        <f>IF(A489=720,"60-year model limit","")</f>
        <v/>
      </c>
    </row>
    <row r="490">
      <c r="A490" s="23" t="n">
        <v>474</v>
      </c>
      <c r="B490" s="24">
        <f>EDATE(TODAY(),A490)</f>
        <v/>
      </c>
      <c r="C490" s="25">
        <f>Inputs!$B$5+A490/12</f>
        <v/>
      </c>
      <c r="D490" s="15">
        <f>D489*(1+$B$8)^(1/12)+$B$10</f>
        <v/>
      </c>
      <c r="E490" s="15">
        <f>E489*(1+$B$9)^(1/12)</f>
        <v/>
      </c>
      <c r="F490" s="15">
        <f>D490+E490</f>
        <v/>
      </c>
      <c r="G490" s="15">
        <f>$B$6</f>
        <v/>
      </c>
      <c r="H490" s="15">
        <f>$B$7</f>
        <v/>
      </c>
      <c r="I490" s="22">
        <f>IF(AND(F490&gt;=G490,D490&gt;=H490),"FI reached","")</f>
        <v/>
      </c>
      <c r="J490" s="22">
        <f>IF(A490=720,"60-year model limit","")</f>
        <v/>
      </c>
    </row>
    <row r="491">
      <c r="A491" s="23" t="n">
        <v>475</v>
      </c>
      <c r="B491" s="24">
        <f>EDATE(TODAY(),A491)</f>
        <v/>
      </c>
      <c r="C491" s="25">
        <f>Inputs!$B$5+A491/12</f>
        <v/>
      </c>
      <c r="D491" s="15">
        <f>D490*(1+$B$8)^(1/12)+$B$10</f>
        <v/>
      </c>
      <c r="E491" s="15">
        <f>E490*(1+$B$9)^(1/12)</f>
        <v/>
      </c>
      <c r="F491" s="15">
        <f>D491+E491</f>
        <v/>
      </c>
      <c r="G491" s="15">
        <f>$B$6</f>
        <v/>
      </c>
      <c r="H491" s="15">
        <f>$B$7</f>
        <v/>
      </c>
      <c r="I491" s="22">
        <f>IF(AND(F491&gt;=G491,D491&gt;=H491),"FI reached","")</f>
        <v/>
      </c>
      <c r="J491" s="22">
        <f>IF(A491=720,"60-year model limit","")</f>
        <v/>
      </c>
    </row>
    <row r="492">
      <c r="A492" s="23" t="n">
        <v>476</v>
      </c>
      <c r="B492" s="24">
        <f>EDATE(TODAY(),A492)</f>
        <v/>
      </c>
      <c r="C492" s="25">
        <f>Inputs!$B$5+A492/12</f>
        <v/>
      </c>
      <c r="D492" s="15">
        <f>D491*(1+$B$8)^(1/12)+$B$10</f>
        <v/>
      </c>
      <c r="E492" s="15">
        <f>E491*(1+$B$9)^(1/12)</f>
        <v/>
      </c>
      <c r="F492" s="15">
        <f>D492+E492</f>
        <v/>
      </c>
      <c r="G492" s="15">
        <f>$B$6</f>
        <v/>
      </c>
      <c r="H492" s="15">
        <f>$B$7</f>
        <v/>
      </c>
      <c r="I492" s="22">
        <f>IF(AND(F492&gt;=G492,D492&gt;=H492),"FI reached","")</f>
        <v/>
      </c>
      <c r="J492" s="22">
        <f>IF(A492=720,"60-year model limit","")</f>
        <v/>
      </c>
    </row>
    <row r="493">
      <c r="A493" s="23" t="n">
        <v>477</v>
      </c>
      <c r="B493" s="24">
        <f>EDATE(TODAY(),A493)</f>
        <v/>
      </c>
      <c r="C493" s="25">
        <f>Inputs!$B$5+A493/12</f>
        <v/>
      </c>
      <c r="D493" s="15">
        <f>D492*(1+$B$8)^(1/12)+$B$10</f>
        <v/>
      </c>
      <c r="E493" s="15">
        <f>E492*(1+$B$9)^(1/12)</f>
        <v/>
      </c>
      <c r="F493" s="15">
        <f>D493+E493</f>
        <v/>
      </c>
      <c r="G493" s="15">
        <f>$B$6</f>
        <v/>
      </c>
      <c r="H493" s="15">
        <f>$B$7</f>
        <v/>
      </c>
      <c r="I493" s="22">
        <f>IF(AND(F493&gt;=G493,D493&gt;=H493),"FI reached","")</f>
        <v/>
      </c>
      <c r="J493" s="22">
        <f>IF(A493=720,"60-year model limit","")</f>
        <v/>
      </c>
    </row>
    <row r="494">
      <c r="A494" s="23" t="n">
        <v>478</v>
      </c>
      <c r="B494" s="24">
        <f>EDATE(TODAY(),A494)</f>
        <v/>
      </c>
      <c r="C494" s="25">
        <f>Inputs!$B$5+A494/12</f>
        <v/>
      </c>
      <c r="D494" s="15">
        <f>D493*(1+$B$8)^(1/12)+$B$10</f>
        <v/>
      </c>
      <c r="E494" s="15">
        <f>E493*(1+$B$9)^(1/12)</f>
        <v/>
      </c>
      <c r="F494" s="15">
        <f>D494+E494</f>
        <v/>
      </c>
      <c r="G494" s="15">
        <f>$B$6</f>
        <v/>
      </c>
      <c r="H494" s="15">
        <f>$B$7</f>
        <v/>
      </c>
      <c r="I494" s="22">
        <f>IF(AND(F494&gt;=G494,D494&gt;=H494),"FI reached","")</f>
        <v/>
      </c>
      <c r="J494" s="22">
        <f>IF(A494=720,"60-year model limit","")</f>
        <v/>
      </c>
    </row>
    <row r="495">
      <c r="A495" s="23" t="n">
        <v>479</v>
      </c>
      <c r="B495" s="24">
        <f>EDATE(TODAY(),A495)</f>
        <v/>
      </c>
      <c r="C495" s="25">
        <f>Inputs!$B$5+A495/12</f>
        <v/>
      </c>
      <c r="D495" s="15">
        <f>D494*(1+$B$8)^(1/12)+$B$10</f>
        <v/>
      </c>
      <c r="E495" s="15">
        <f>E494*(1+$B$9)^(1/12)</f>
        <v/>
      </c>
      <c r="F495" s="15">
        <f>D495+E495</f>
        <v/>
      </c>
      <c r="G495" s="15">
        <f>$B$6</f>
        <v/>
      </c>
      <c r="H495" s="15">
        <f>$B$7</f>
        <v/>
      </c>
      <c r="I495" s="22">
        <f>IF(AND(F495&gt;=G495,D495&gt;=H495),"FI reached","")</f>
        <v/>
      </c>
      <c r="J495" s="22">
        <f>IF(A495=720,"60-year model limit","")</f>
        <v/>
      </c>
    </row>
    <row r="496">
      <c r="A496" s="23" t="n">
        <v>480</v>
      </c>
      <c r="B496" s="24">
        <f>EDATE(TODAY(),A496)</f>
        <v/>
      </c>
      <c r="C496" s="25">
        <f>Inputs!$B$5+A496/12</f>
        <v/>
      </c>
      <c r="D496" s="15">
        <f>D495*(1+$B$8)^(1/12)+$B$10</f>
        <v/>
      </c>
      <c r="E496" s="15">
        <f>E495*(1+$B$9)^(1/12)</f>
        <v/>
      </c>
      <c r="F496" s="15">
        <f>D496+E496</f>
        <v/>
      </c>
      <c r="G496" s="15">
        <f>$B$6</f>
        <v/>
      </c>
      <c r="H496" s="15">
        <f>$B$7</f>
        <v/>
      </c>
      <c r="I496" s="22">
        <f>IF(AND(F496&gt;=G496,D496&gt;=H496),"FI reached","")</f>
        <v/>
      </c>
      <c r="J496" s="22">
        <f>IF(A496=720,"60-year model limit","")</f>
        <v/>
      </c>
    </row>
    <row r="497">
      <c r="A497" s="23" t="n">
        <v>481</v>
      </c>
      <c r="B497" s="24">
        <f>EDATE(TODAY(),A497)</f>
        <v/>
      </c>
      <c r="C497" s="25">
        <f>Inputs!$B$5+A497/12</f>
        <v/>
      </c>
      <c r="D497" s="15">
        <f>D496*(1+$B$8)^(1/12)+$B$10</f>
        <v/>
      </c>
      <c r="E497" s="15">
        <f>E496*(1+$B$9)^(1/12)</f>
        <v/>
      </c>
      <c r="F497" s="15">
        <f>D497+E497</f>
        <v/>
      </c>
      <c r="G497" s="15">
        <f>$B$6</f>
        <v/>
      </c>
      <c r="H497" s="15">
        <f>$B$7</f>
        <v/>
      </c>
      <c r="I497" s="22">
        <f>IF(AND(F497&gt;=G497,D497&gt;=H497),"FI reached","")</f>
        <v/>
      </c>
      <c r="J497" s="22">
        <f>IF(A497=720,"60-year model limit","")</f>
        <v/>
      </c>
    </row>
    <row r="498">
      <c r="A498" s="23" t="n">
        <v>482</v>
      </c>
      <c r="B498" s="24">
        <f>EDATE(TODAY(),A498)</f>
        <v/>
      </c>
      <c r="C498" s="25">
        <f>Inputs!$B$5+A498/12</f>
        <v/>
      </c>
      <c r="D498" s="15">
        <f>D497*(1+$B$8)^(1/12)+$B$10</f>
        <v/>
      </c>
      <c r="E498" s="15">
        <f>E497*(1+$B$9)^(1/12)</f>
        <v/>
      </c>
      <c r="F498" s="15">
        <f>D498+E498</f>
        <v/>
      </c>
      <c r="G498" s="15">
        <f>$B$6</f>
        <v/>
      </c>
      <c r="H498" s="15">
        <f>$B$7</f>
        <v/>
      </c>
      <c r="I498" s="22">
        <f>IF(AND(F498&gt;=G498,D498&gt;=H498),"FI reached","")</f>
        <v/>
      </c>
      <c r="J498" s="22">
        <f>IF(A498=720,"60-year model limit","")</f>
        <v/>
      </c>
    </row>
    <row r="499">
      <c r="A499" s="23" t="n">
        <v>483</v>
      </c>
      <c r="B499" s="24">
        <f>EDATE(TODAY(),A499)</f>
        <v/>
      </c>
      <c r="C499" s="25">
        <f>Inputs!$B$5+A499/12</f>
        <v/>
      </c>
      <c r="D499" s="15">
        <f>D498*(1+$B$8)^(1/12)+$B$10</f>
        <v/>
      </c>
      <c r="E499" s="15">
        <f>E498*(1+$B$9)^(1/12)</f>
        <v/>
      </c>
      <c r="F499" s="15">
        <f>D499+E499</f>
        <v/>
      </c>
      <c r="G499" s="15">
        <f>$B$6</f>
        <v/>
      </c>
      <c r="H499" s="15">
        <f>$B$7</f>
        <v/>
      </c>
      <c r="I499" s="22">
        <f>IF(AND(F499&gt;=G499,D499&gt;=H499),"FI reached","")</f>
        <v/>
      </c>
      <c r="J499" s="22">
        <f>IF(A499=720,"60-year model limit","")</f>
        <v/>
      </c>
    </row>
    <row r="500">
      <c r="A500" s="23" t="n">
        <v>484</v>
      </c>
      <c r="B500" s="24">
        <f>EDATE(TODAY(),A500)</f>
        <v/>
      </c>
      <c r="C500" s="25">
        <f>Inputs!$B$5+A500/12</f>
        <v/>
      </c>
      <c r="D500" s="15">
        <f>D499*(1+$B$8)^(1/12)+$B$10</f>
        <v/>
      </c>
      <c r="E500" s="15">
        <f>E499*(1+$B$9)^(1/12)</f>
        <v/>
      </c>
      <c r="F500" s="15">
        <f>D500+E500</f>
        <v/>
      </c>
      <c r="G500" s="15">
        <f>$B$6</f>
        <v/>
      </c>
      <c r="H500" s="15">
        <f>$B$7</f>
        <v/>
      </c>
      <c r="I500" s="22">
        <f>IF(AND(F500&gt;=G500,D500&gt;=H500),"FI reached","")</f>
        <v/>
      </c>
      <c r="J500" s="22">
        <f>IF(A500=720,"60-year model limit","")</f>
        <v/>
      </c>
    </row>
    <row r="501">
      <c r="A501" s="23" t="n">
        <v>485</v>
      </c>
      <c r="B501" s="24">
        <f>EDATE(TODAY(),A501)</f>
        <v/>
      </c>
      <c r="C501" s="25">
        <f>Inputs!$B$5+A501/12</f>
        <v/>
      </c>
      <c r="D501" s="15">
        <f>D500*(1+$B$8)^(1/12)+$B$10</f>
        <v/>
      </c>
      <c r="E501" s="15">
        <f>E500*(1+$B$9)^(1/12)</f>
        <v/>
      </c>
      <c r="F501" s="15">
        <f>D501+E501</f>
        <v/>
      </c>
      <c r="G501" s="15">
        <f>$B$6</f>
        <v/>
      </c>
      <c r="H501" s="15">
        <f>$B$7</f>
        <v/>
      </c>
      <c r="I501" s="22">
        <f>IF(AND(F501&gt;=G501,D501&gt;=H501),"FI reached","")</f>
        <v/>
      </c>
      <c r="J501" s="22">
        <f>IF(A501=720,"60-year model limit","")</f>
        <v/>
      </c>
    </row>
    <row r="502">
      <c r="A502" s="23" t="n">
        <v>486</v>
      </c>
      <c r="B502" s="24">
        <f>EDATE(TODAY(),A502)</f>
        <v/>
      </c>
      <c r="C502" s="25">
        <f>Inputs!$B$5+A502/12</f>
        <v/>
      </c>
      <c r="D502" s="15">
        <f>D501*(1+$B$8)^(1/12)+$B$10</f>
        <v/>
      </c>
      <c r="E502" s="15">
        <f>E501*(1+$B$9)^(1/12)</f>
        <v/>
      </c>
      <c r="F502" s="15">
        <f>D502+E502</f>
        <v/>
      </c>
      <c r="G502" s="15">
        <f>$B$6</f>
        <v/>
      </c>
      <c r="H502" s="15">
        <f>$B$7</f>
        <v/>
      </c>
      <c r="I502" s="22">
        <f>IF(AND(F502&gt;=G502,D502&gt;=H502),"FI reached","")</f>
        <v/>
      </c>
      <c r="J502" s="22">
        <f>IF(A502=720,"60-year model limit","")</f>
        <v/>
      </c>
    </row>
    <row r="503">
      <c r="A503" s="23" t="n">
        <v>487</v>
      </c>
      <c r="B503" s="24">
        <f>EDATE(TODAY(),A503)</f>
        <v/>
      </c>
      <c r="C503" s="25">
        <f>Inputs!$B$5+A503/12</f>
        <v/>
      </c>
      <c r="D503" s="15">
        <f>D502*(1+$B$8)^(1/12)+$B$10</f>
        <v/>
      </c>
      <c r="E503" s="15">
        <f>E502*(1+$B$9)^(1/12)</f>
        <v/>
      </c>
      <c r="F503" s="15">
        <f>D503+E503</f>
        <v/>
      </c>
      <c r="G503" s="15">
        <f>$B$6</f>
        <v/>
      </c>
      <c r="H503" s="15">
        <f>$B$7</f>
        <v/>
      </c>
      <c r="I503" s="22">
        <f>IF(AND(F503&gt;=G503,D503&gt;=H503),"FI reached","")</f>
        <v/>
      </c>
      <c r="J503" s="22">
        <f>IF(A503=720,"60-year model limit","")</f>
        <v/>
      </c>
    </row>
    <row r="504">
      <c r="A504" s="23" t="n">
        <v>488</v>
      </c>
      <c r="B504" s="24">
        <f>EDATE(TODAY(),A504)</f>
        <v/>
      </c>
      <c r="C504" s="25">
        <f>Inputs!$B$5+A504/12</f>
        <v/>
      </c>
      <c r="D504" s="15">
        <f>D503*(1+$B$8)^(1/12)+$B$10</f>
        <v/>
      </c>
      <c r="E504" s="15">
        <f>E503*(1+$B$9)^(1/12)</f>
        <v/>
      </c>
      <c r="F504" s="15">
        <f>D504+E504</f>
        <v/>
      </c>
      <c r="G504" s="15">
        <f>$B$6</f>
        <v/>
      </c>
      <c r="H504" s="15">
        <f>$B$7</f>
        <v/>
      </c>
      <c r="I504" s="22">
        <f>IF(AND(F504&gt;=G504,D504&gt;=H504),"FI reached","")</f>
        <v/>
      </c>
      <c r="J504" s="22">
        <f>IF(A504=720,"60-year model limit","")</f>
        <v/>
      </c>
    </row>
    <row r="505">
      <c r="A505" s="23" t="n">
        <v>489</v>
      </c>
      <c r="B505" s="24">
        <f>EDATE(TODAY(),A505)</f>
        <v/>
      </c>
      <c r="C505" s="25">
        <f>Inputs!$B$5+A505/12</f>
        <v/>
      </c>
      <c r="D505" s="15">
        <f>D504*(1+$B$8)^(1/12)+$B$10</f>
        <v/>
      </c>
      <c r="E505" s="15">
        <f>E504*(1+$B$9)^(1/12)</f>
        <v/>
      </c>
      <c r="F505" s="15">
        <f>D505+E505</f>
        <v/>
      </c>
      <c r="G505" s="15">
        <f>$B$6</f>
        <v/>
      </c>
      <c r="H505" s="15">
        <f>$B$7</f>
        <v/>
      </c>
      <c r="I505" s="22">
        <f>IF(AND(F505&gt;=G505,D505&gt;=H505),"FI reached","")</f>
        <v/>
      </c>
      <c r="J505" s="22">
        <f>IF(A505=720,"60-year model limit","")</f>
        <v/>
      </c>
    </row>
    <row r="506">
      <c r="A506" s="23" t="n">
        <v>490</v>
      </c>
      <c r="B506" s="24">
        <f>EDATE(TODAY(),A506)</f>
        <v/>
      </c>
      <c r="C506" s="25">
        <f>Inputs!$B$5+A506/12</f>
        <v/>
      </c>
      <c r="D506" s="15">
        <f>D505*(1+$B$8)^(1/12)+$B$10</f>
        <v/>
      </c>
      <c r="E506" s="15">
        <f>E505*(1+$B$9)^(1/12)</f>
        <v/>
      </c>
      <c r="F506" s="15">
        <f>D506+E506</f>
        <v/>
      </c>
      <c r="G506" s="15">
        <f>$B$6</f>
        <v/>
      </c>
      <c r="H506" s="15">
        <f>$B$7</f>
        <v/>
      </c>
      <c r="I506" s="22">
        <f>IF(AND(F506&gt;=G506,D506&gt;=H506),"FI reached","")</f>
        <v/>
      </c>
      <c r="J506" s="22">
        <f>IF(A506=720,"60-year model limit","")</f>
        <v/>
      </c>
    </row>
    <row r="507">
      <c r="A507" s="23" t="n">
        <v>491</v>
      </c>
      <c r="B507" s="24">
        <f>EDATE(TODAY(),A507)</f>
        <v/>
      </c>
      <c r="C507" s="25">
        <f>Inputs!$B$5+A507/12</f>
        <v/>
      </c>
      <c r="D507" s="15">
        <f>D506*(1+$B$8)^(1/12)+$B$10</f>
        <v/>
      </c>
      <c r="E507" s="15">
        <f>E506*(1+$B$9)^(1/12)</f>
        <v/>
      </c>
      <c r="F507" s="15">
        <f>D507+E507</f>
        <v/>
      </c>
      <c r="G507" s="15">
        <f>$B$6</f>
        <v/>
      </c>
      <c r="H507" s="15">
        <f>$B$7</f>
        <v/>
      </c>
      <c r="I507" s="22">
        <f>IF(AND(F507&gt;=G507,D507&gt;=H507),"FI reached","")</f>
        <v/>
      </c>
      <c r="J507" s="22">
        <f>IF(A507=720,"60-year model limit","")</f>
        <v/>
      </c>
    </row>
    <row r="508">
      <c r="A508" s="23" t="n">
        <v>492</v>
      </c>
      <c r="B508" s="24">
        <f>EDATE(TODAY(),A508)</f>
        <v/>
      </c>
      <c r="C508" s="25">
        <f>Inputs!$B$5+A508/12</f>
        <v/>
      </c>
      <c r="D508" s="15">
        <f>D507*(1+$B$8)^(1/12)+$B$10</f>
        <v/>
      </c>
      <c r="E508" s="15">
        <f>E507*(1+$B$9)^(1/12)</f>
        <v/>
      </c>
      <c r="F508" s="15">
        <f>D508+E508</f>
        <v/>
      </c>
      <c r="G508" s="15">
        <f>$B$6</f>
        <v/>
      </c>
      <c r="H508" s="15">
        <f>$B$7</f>
        <v/>
      </c>
      <c r="I508" s="22">
        <f>IF(AND(F508&gt;=G508,D508&gt;=H508),"FI reached","")</f>
        <v/>
      </c>
      <c r="J508" s="22">
        <f>IF(A508=720,"60-year model limit","")</f>
        <v/>
      </c>
    </row>
    <row r="509">
      <c r="A509" s="23" t="n">
        <v>493</v>
      </c>
      <c r="B509" s="24">
        <f>EDATE(TODAY(),A509)</f>
        <v/>
      </c>
      <c r="C509" s="25">
        <f>Inputs!$B$5+A509/12</f>
        <v/>
      </c>
      <c r="D509" s="15">
        <f>D508*(1+$B$8)^(1/12)+$B$10</f>
        <v/>
      </c>
      <c r="E509" s="15">
        <f>E508*(1+$B$9)^(1/12)</f>
        <v/>
      </c>
      <c r="F509" s="15">
        <f>D509+E509</f>
        <v/>
      </c>
      <c r="G509" s="15">
        <f>$B$6</f>
        <v/>
      </c>
      <c r="H509" s="15">
        <f>$B$7</f>
        <v/>
      </c>
      <c r="I509" s="22">
        <f>IF(AND(F509&gt;=G509,D509&gt;=H509),"FI reached","")</f>
        <v/>
      </c>
      <c r="J509" s="22">
        <f>IF(A509=720,"60-year model limit","")</f>
        <v/>
      </c>
    </row>
    <row r="510">
      <c r="A510" s="23" t="n">
        <v>494</v>
      </c>
      <c r="B510" s="24">
        <f>EDATE(TODAY(),A510)</f>
        <v/>
      </c>
      <c r="C510" s="25">
        <f>Inputs!$B$5+A510/12</f>
        <v/>
      </c>
      <c r="D510" s="15">
        <f>D509*(1+$B$8)^(1/12)+$B$10</f>
        <v/>
      </c>
      <c r="E510" s="15">
        <f>E509*(1+$B$9)^(1/12)</f>
        <v/>
      </c>
      <c r="F510" s="15">
        <f>D510+E510</f>
        <v/>
      </c>
      <c r="G510" s="15">
        <f>$B$6</f>
        <v/>
      </c>
      <c r="H510" s="15">
        <f>$B$7</f>
        <v/>
      </c>
      <c r="I510" s="22">
        <f>IF(AND(F510&gt;=G510,D510&gt;=H510),"FI reached","")</f>
        <v/>
      </c>
      <c r="J510" s="22">
        <f>IF(A510=720,"60-year model limit","")</f>
        <v/>
      </c>
    </row>
    <row r="511">
      <c r="A511" s="23" t="n">
        <v>495</v>
      </c>
      <c r="B511" s="24">
        <f>EDATE(TODAY(),A511)</f>
        <v/>
      </c>
      <c r="C511" s="25">
        <f>Inputs!$B$5+A511/12</f>
        <v/>
      </c>
      <c r="D511" s="15">
        <f>D510*(1+$B$8)^(1/12)+$B$10</f>
        <v/>
      </c>
      <c r="E511" s="15">
        <f>E510*(1+$B$9)^(1/12)</f>
        <v/>
      </c>
      <c r="F511" s="15">
        <f>D511+E511</f>
        <v/>
      </c>
      <c r="G511" s="15">
        <f>$B$6</f>
        <v/>
      </c>
      <c r="H511" s="15">
        <f>$B$7</f>
        <v/>
      </c>
      <c r="I511" s="22">
        <f>IF(AND(F511&gt;=G511,D511&gt;=H511),"FI reached","")</f>
        <v/>
      </c>
      <c r="J511" s="22">
        <f>IF(A511=720,"60-year model limit","")</f>
        <v/>
      </c>
    </row>
    <row r="512">
      <c r="A512" s="23" t="n">
        <v>496</v>
      </c>
      <c r="B512" s="24">
        <f>EDATE(TODAY(),A512)</f>
        <v/>
      </c>
      <c r="C512" s="25">
        <f>Inputs!$B$5+A512/12</f>
        <v/>
      </c>
      <c r="D512" s="15">
        <f>D511*(1+$B$8)^(1/12)+$B$10</f>
        <v/>
      </c>
      <c r="E512" s="15">
        <f>E511*(1+$B$9)^(1/12)</f>
        <v/>
      </c>
      <c r="F512" s="15">
        <f>D512+E512</f>
        <v/>
      </c>
      <c r="G512" s="15">
        <f>$B$6</f>
        <v/>
      </c>
      <c r="H512" s="15">
        <f>$B$7</f>
        <v/>
      </c>
      <c r="I512" s="22">
        <f>IF(AND(F512&gt;=G512,D512&gt;=H512),"FI reached","")</f>
        <v/>
      </c>
      <c r="J512" s="22">
        <f>IF(A512=720,"60-year model limit","")</f>
        <v/>
      </c>
    </row>
    <row r="513">
      <c r="A513" s="23" t="n">
        <v>497</v>
      </c>
      <c r="B513" s="24">
        <f>EDATE(TODAY(),A513)</f>
        <v/>
      </c>
      <c r="C513" s="25">
        <f>Inputs!$B$5+A513/12</f>
        <v/>
      </c>
      <c r="D513" s="15">
        <f>D512*(1+$B$8)^(1/12)+$B$10</f>
        <v/>
      </c>
      <c r="E513" s="15">
        <f>E512*(1+$B$9)^(1/12)</f>
        <v/>
      </c>
      <c r="F513" s="15">
        <f>D513+E513</f>
        <v/>
      </c>
      <c r="G513" s="15">
        <f>$B$6</f>
        <v/>
      </c>
      <c r="H513" s="15">
        <f>$B$7</f>
        <v/>
      </c>
      <c r="I513" s="22">
        <f>IF(AND(F513&gt;=G513,D513&gt;=H513),"FI reached","")</f>
        <v/>
      </c>
      <c r="J513" s="22">
        <f>IF(A513=720,"60-year model limit","")</f>
        <v/>
      </c>
    </row>
    <row r="514">
      <c r="A514" s="23" t="n">
        <v>498</v>
      </c>
      <c r="B514" s="24">
        <f>EDATE(TODAY(),A514)</f>
        <v/>
      </c>
      <c r="C514" s="25">
        <f>Inputs!$B$5+A514/12</f>
        <v/>
      </c>
      <c r="D514" s="15">
        <f>D513*(1+$B$8)^(1/12)+$B$10</f>
        <v/>
      </c>
      <c r="E514" s="15">
        <f>E513*(1+$B$9)^(1/12)</f>
        <v/>
      </c>
      <c r="F514" s="15">
        <f>D514+E514</f>
        <v/>
      </c>
      <c r="G514" s="15">
        <f>$B$6</f>
        <v/>
      </c>
      <c r="H514" s="15">
        <f>$B$7</f>
        <v/>
      </c>
      <c r="I514" s="22">
        <f>IF(AND(F514&gt;=G514,D514&gt;=H514),"FI reached","")</f>
        <v/>
      </c>
      <c r="J514" s="22">
        <f>IF(A514=720,"60-year model limit","")</f>
        <v/>
      </c>
    </row>
    <row r="515">
      <c r="A515" s="23" t="n">
        <v>499</v>
      </c>
      <c r="B515" s="24">
        <f>EDATE(TODAY(),A515)</f>
        <v/>
      </c>
      <c r="C515" s="25">
        <f>Inputs!$B$5+A515/12</f>
        <v/>
      </c>
      <c r="D515" s="15">
        <f>D514*(1+$B$8)^(1/12)+$B$10</f>
        <v/>
      </c>
      <c r="E515" s="15">
        <f>E514*(1+$B$9)^(1/12)</f>
        <v/>
      </c>
      <c r="F515" s="15">
        <f>D515+E515</f>
        <v/>
      </c>
      <c r="G515" s="15">
        <f>$B$6</f>
        <v/>
      </c>
      <c r="H515" s="15">
        <f>$B$7</f>
        <v/>
      </c>
      <c r="I515" s="22">
        <f>IF(AND(F515&gt;=G515,D515&gt;=H515),"FI reached","")</f>
        <v/>
      </c>
      <c r="J515" s="22">
        <f>IF(A515=720,"60-year model limit","")</f>
        <v/>
      </c>
    </row>
    <row r="516">
      <c r="A516" s="23" t="n">
        <v>500</v>
      </c>
      <c r="B516" s="24">
        <f>EDATE(TODAY(),A516)</f>
        <v/>
      </c>
      <c r="C516" s="25">
        <f>Inputs!$B$5+A516/12</f>
        <v/>
      </c>
      <c r="D516" s="15">
        <f>D515*(1+$B$8)^(1/12)+$B$10</f>
        <v/>
      </c>
      <c r="E516" s="15">
        <f>E515*(1+$B$9)^(1/12)</f>
        <v/>
      </c>
      <c r="F516" s="15">
        <f>D516+E516</f>
        <v/>
      </c>
      <c r="G516" s="15">
        <f>$B$6</f>
        <v/>
      </c>
      <c r="H516" s="15">
        <f>$B$7</f>
        <v/>
      </c>
      <c r="I516" s="22">
        <f>IF(AND(F516&gt;=G516,D516&gt;=H516),"FI reached","")</f>
        <v/>
      </c>
      <c r="J516" s="22">
        <f>IF(A516=720,"60-year model limit","")</f>
        <v/>
      </c>
    </row>
    <row r="517">
      <c r="A517" s="23" t="n">
        <v>501</v>
      </c>
      <c r="B517" s="24">
        <f>EDATE(TODAY(),A517)</f>
        <v/>
      </c>
      <c r="C517" s="25">
        <f>Inputs!$B$5+A517/12</f>
        <v/>
      </c>
      <c r="D517" s="15">
        <f>D516*(1+$B$8)^(1/12)+$B$10</f>
        <v/>
      </c>
      <c r="E517" s="15">
        <f>E516*(1+$B$9)^(1/12)</f>
        <v/>
      </c>
      <c r="F517" s="15">
        <f>D517+E517</f>
        <v/>
      </c>
      <c r="G517" s="15">
        <f>$B$6</f>
        <v/>
      </c>
      <c r="H517" s="15">
        <f>$B$7</f>
        <v/>
      </c>
      <c r="I517" s="22">
        <f>IF(AND(F517&gt;=G517,D517&gt;=H517),"FI reached","")</f>
        <v/>
      </c>
      <c r="J517" s="22">
        <f>IF(A517=720,"60-year model limit","")</f>
        <v/>
      </c>
    </row>
    <row r="518">
      <c r="A518" s="23" t="n">
        <v>502</v>
      </c>
      <c r="B518" s="24">
        <f>EDATE(TODAY(),A518)</f>
        <v/>
      </c>
      <c r="C518" s="25">
        <f>Inputs!$B$5+A518/12</f>
        <v/>
      </c>
      <c r="D518" s="15">
        <f>D517*(1+$B$8)^(1/12)+$B$10</f>
        <v/>
      </c>
      <c r="E518" s="15">
        <f>E517*(1+$B$9)^(1/12)</f>
        <v/>
      </c>
      <c r="F518" s="15">
        <f>D518+E518</f>
        <v/>
      </c>
      <c r="G518" s="15">
        <f>$B$6</f>
        <v/>
      </c>
      <c r="H518" s="15">
        <f>$B$7</f>
        <v/>
      </c>
      <c r="I518" s="22">
        <f>IF(AND(F518&gt;=G518,D518&gt;=H518),"FI reached","")</f>
        <v/>
      </c>
      <c r="J518" s="22">
        <f>IF(A518=720,"60-year model limit","")</f>
        <v/>
      </c>
    </row>
    <row r="519">
      <c r="A519" s="23" t="n">
        <v>503</v>
      </c>
      <c r="B519" s="24">
        <f>EDATE(TODAY(),A519)</f>
        <v/>
      </c>
      <c r="C519" s="25">
        <f>Inputs!$B$5+A519/12</f>
        <v/>
      </c>
      <c r="D519" s="15">
        <f>D518*(1+$B$8)^(1/12)+$B$10</f>
        <v/>
      </c>
      <c r="E519" s="15">
        <f>E518*(1+$B$9)^(1/12)</f>
        <v/>
      </c>
      <c r="F519" s="15">
        <f>D519+E519</f>
        <v/>
      </c>
      <c r="G519" s="15">
        <f>$B$6</f>
        <v/>
      </c>
      <c r="H519" s="15">
        <f>$B$7</f>
        <v/>
      </c>
      <c r="I519" s="22">
        <f>IF(AND(F519&gt;=G519,D519&gt;=H519),"FI reached","")</f>
        <v/>
      </c>
      <c r="J519" s="22">
        <f>IF(A519=720,"60-year model limit","")</f>
        <v/>
      </c>
    </row>
    <row r="520">
      <c r="A520" s="23" t="n">
        <v>504</v>
      </c>
      <c r="B520" s="24">
        <f>EDATE(TODAY(),A520)</f>
        <v/>
      </c>
      <c r="C520" s="25">
        <f>Inputs!$B$5+A520/12</f>
        <v/>
      </c>
      <c r="D520" s="15">
        <f>D519*(1+$B$8)^(1/12)+$B$10</f>
        <v/>
      </c>
      <c r="E520" s="15">
        <f>E519*(1+$B$9)^(1/12)</f>
        <v/>
      </c>
      <c r="F520" s="15">
        <f>D520+E520</f>
        <v/>
      </c>
      <c r="G520" s="15">
        <f>$B$6</f>
        <v/>
      </c>
      <c r="H520" s="15">
        <f>$B$7</f>
        <v/>
      </c>
      <c r="I520" s="22">
        <f>IF(AND(F520&gt;=G520,D520&gt;=H520),"FI reached","")</f>
        <v/>
      </c>
      <c r="J520" s="22">
        <f>IF(A520=720,"60-year model limit","")</f>
        <v/>
      </c>
    </row>
    <row r="521">
      <c r="A521" s="23" t="n">
        <v>505</v>
      </c>
      <c r="B521" s="24">
        <f>EDATE(TODAY(),A521)</f>
        <v/>
      </c>
      <c r="C521" s="25">
        <f>Inputs!$B$5+A521/12</f>
        <v/>
      </c>
      <c r="D521" s="15">
        <f>D520*(1+$B$8)^(1/12)+$B$10</f>
        <v/>
      </c>
      <c r="E521" s="15">
        <f>E520*(1+$B$9)^(1/12)</f>
        <v/>
      </c>
      <c r="F521" s="15">
        <f>D521+E521</f>
        <v/>
      </c>
      <c r="G521" s="15">
        <f>$B$6</f>
        <v/>
      </c>
      <c r="H521" s="15">
        <f>$B$7</f>
        <v/>
      </c>
      <c r="I521" s="22">
        <f>IF(AND(F521&gt;=G521,D521&gt;=H521),"FI reached","")</f>
        <v/>
      </c>
      <c r="J521" s="22">
        <f>IF(A521=720,"60-year model limit","")</f>
        <v/>
      </c>
    </row>
    <row r="522">
      <c r="A522" s="23" t="n">
        <v>506</v>
      </c>
      <c r="B522" s="24">
        <f>EDATE(TODAY(),A522)</f>
        <v/>
      </c>
      <c r="C522" s="25">
        <f>Inputs!$B$5+A522/12</f>
        <v/>
      </c>
      <c r="D522" s="15">
        <f>D521*(1+$B$8)^(1/12)+$B$10</f>
        <v/>
      </c>
      <c r="E522" s="15">
        <f>E521*(1+$B$9)^(1/12)</f>
        <v/>
      </c>
      <c r="F522" s="15">
        <f>D522+E522</f>
        <v/>
      </c>
      <c r="G522" s="15">
        <f>$B$6</f>
        <v/>
      </c>
      <c r="H522" s="15">
        <f>$B$7</f>
        <v/>
      </c>
      <c r="I522" s="22">
        <f>IF(AND(F522&gt;=G522,D522&gt;=H522),"FI reached","")</f>
        <v/>
      </c>
      <c r="J522" s="22">
        <f>IF(A522=720,"60-year model limit","")</f>
        <v/>
      </c>
    </row>
    <row r="523">
      <c r="A523" s="23" t="n">
        <v>507</v>
      </c>
      <c r="B523" s="24">
        <f>EDATE(TODAY(),A523)</f>
        <v/>
      </c>
      <c r="C523" s="25">
        <f>Inputs!$B$5+A523/12</f>
        <v/>
      </c>
      <c r="D523" s="15">
        <f>D522*(1+$B$8)^(1/12)+$B$10</f>
        <v/>
      </c>
      <c r="E523" s="15">
        <f>E522*(1+$B$9)^(1/12)</f>
        <v/>
      </c>
      <c r="F523" s="15">
        <f>D523+E523</f>
        <v/>
      </c>
      <c r="G523" s="15">
        <f>$B$6</f>
        <v/>
      </c>
      <c r="H523" s="15">
        <f>$B$7</f>
        <v/>
      </c>
      <c r="I523" s="22">
        <f>IF(AND(F523&gt;=G523,D523&gt;=H523),"FI reached","")</f>
        <v/>
      </c>
      <c r="J523" s="22">
        <f>IF(A523=720,"60-year model limit","")</f>
        <v/>
      </c>
    </row>
    <row r="524">
      <c r="A524" s="23" t="n">
        <v>508</v>
      </c>
      <c r="B524" s="24">
        <f>EDATE(TODAY(),A524)</f>
        <v/>
      </c>
      <c r="C524" s="25">
        <f>Inputs!$B$5+A524/12</f>
        <v/>
      </c>
      <c r="D524" s="15">
        <f>D523*(1+$B$8)^(1/12)+$B$10</f>
        <v/>
      </c>
      <c r="E524" s="15">
        <f>E523*(1+$B$9)^(1/12)</f>
        <v/>
      </c>
      <c r="F524" s="15">
        <f>D524+E524</f>
        <v/>
      </c>
      <c r="G524" s="15">
        <f>$B$6</f>
        <v/>
      </c>
      <c r="H524" s="15">
        <f>$B$7</f>
        <v/>
      </c>
      <c r="I524" s="22">
        <f>IF(AND(F524&gt;=G524,D524&gt;=H524),"FI reached","")</f>
        <v/>
      </c>
      <c r="J524" s="22">
        <f>IF(A524=720,"60-year model limit","")</f>
        <v/>
      </c>
    </row>
    <row r="525">
      <c r="A525" s="23" t="n">
        <v>509</v>
      </c>
      <c r="B525" s="24">
        <f>EDATE(TODAY(),A525)</f>
        <v/>
      </c>
      <c r="C525" s="25">
        <f>Inputs!$B$5+A525/12</f>
        <v/>
      </c>
      <c r="D525" s="15">
        <f>D524*(1+$B$8)^(1/12)+$B$10</f>
        <v/>
      </c>
      <c r="E525" s="15">
        <f>E524*(1+$B$9)^(1/12)</f>
        <v/>
      </c>
      <c r="F525" s="15">
        <f>D525+E525</f>
        <v/>
      </c>
      <c r="G525" s="15">
        <f>$B$6</f>
        <v/>
      </c>
      <c r="H525" s="15">
        <f>$B$7</f>
        <v/>
      </c>
      <c r="I525" s="22">
        <f>IF(AND(F525&gt;=G525,D525&gt;=H525),"FI reached","")</f>
        <v/>
      </c>
      <c r="J525" s="22">
        <f>IF(A525=720,"60-year model limit","")</f>
        <v/>
      </c>
    </row>
    <row r="526">
      <c r="A526" s="23" t="n">
        <v>510</v>
      </c>
      <c r="B526" s="24">
        <f>EDATE(TODAY(),A526)</f>
        <v/>
      </c>
      <c r="C526" s="25">
        <f>Inputs!$B$5+A526/12</f>
        <v/>
      </c>
      <c r="D526" s="15">
        <f>D525*(1+$B$8)^(1/12)+$B$10</f>
        <v/>
      </c>
      <c r="E526" s="15">
        <f>E525*(1+$B$9)^(1/12)</f>
        <v/>
      </c>
      <c r="F526" s="15">
        <f>D526+E526</f>
        <v/>
      </c>
      <c r="G526" s="15">
        <f>$B$6</f>
        <v/>
      </c>
      <c r="H526" s="15">
        <f>$B$7</f>
        <v/>
      </c>
      <c r="I526" s="22">
        <f>IF(AND(F526&gt;=G526,D526&gt;=H526),"FI reached","")</f>
        <v/>
      </c>
      <c r="J526" s="22">
        <f>IF(A526=720,"60-year model limit","")</f>
        <v/>
      </c>
    </row>
    <row r="527">
      <c r="A527" s="23" t="n">
        <v>511</v>
      </c>
      <c r="B527" s="24">
        <f>EDATE(TODAY(),A527)</f>
        <v/>
      </c>
      <c r="C527" s="25">
        <f>Inputs!$B$5+A527/12</f>
        <v/>
      </c>
      <c r="D527" s="15">
        <f>D526*(1+$B$8)^(1/12)+$B$10</f>
        <v/>
      </c>
      <c r="E527" s="15">
        <f>E526*(1+$B$9)^(1/12)</f>
        <v/>
      </c>
      <c r="F527" s="15">
        <f>D527+E527</f>
        <v/>
      </c>
      <c r="G527" s="15">
        <f>$B$6</f>
        <v/>
      </c>
      <c r="H527" s="15">
        <f>$B$7</f>
        <v/>
      </c>
      <c r="I527" s="22">
        <f>IF(AND(F527&gt;=G527,D527&gt;=H527),"FI reached","")</f>
        <v/>
      </c>
      <c r="J527" s="22">
        <f>IF(A527=720,"60-year model limit","")</f>
        <v/>
      </c>
    </row>
    <row r="528">
      <c r="A528" s="23" t="n">
        <v>512</v>
      </c>
      <c r="B528" s="24">
        <f>EDATE(TODAY(),A528)</f>
        <v/>
      </c>
      <c r="C528" s="25">
        <f>Inputs!$B$5+A528/12</f>
        <v/>
      </c>
      <c r="D528" s="15">
        <f>D527*(1+$B$8)^(1/12)+$B$10</f>
        <v/>
      </c>
      <c r="E528" s="15">
        <f>E527*(1+$B$9)^(1/12)</f>
        <v/>
      </c>
      <c r="F528" s="15">
        <f>D528+E528</f>
        <v/>
      </c>
      <c r="G528" s="15">
        <f>$B$6</f>
        <v/>
      </c>
      <c r="H528" s="15">
        <f>$B$7</f>
        <v/>
      </c>
      <c r="I528" s="22">
        <f>IF(AND(F528&gt;=G528,D528&gt;=H528),"FI reached","")</f>
        <v/>
      </c>
      <c r="J528" s="22">
        <f>IF(A528=720,"60-year model limit","")</f>
        <v/>
      </c>
    </row>
    <row r="529">
      <c r="A529" s="23" t="n">
        <v>513</v>
      </c>
      <c r="B529" s="24">
        <f>EDATE(TODAY(),A529)</f>
        <v/>
      </c>
      <c r="C529" s="25">
        <f>Inputs!$B$5+A529/12</f>
        <v/>
      </c>
      <c r="D529" s="15">
        <f>D528*(1+$B$8)^(1/12)+$B$10</f>
        <v/>
      </c>
      <c r="E529" s="15">
        <f>E528*(1+$B$9)^(1/12)</f>
        <v/>
      </c>
      <c r="F529" s="15">
        <f>D529+E529</f>
        <v/>
      </c>
      <c r="G529" s="15">
        <f>$B$6</f>
        <v/>
      </c>
      <c r="H529" s="15">
        <f>$B$7</f>
        <v/>
      </c>
      <c r="I529" s="22">
        <f>IF(AND(F529&gt;=G529,D529&gt;=H529),"FI reached","")</f>
        <v/>
      </c>
      <c r="J529" s="22">
        <f>IF(A529=720,"60-year model limit","")</f>
        <v/>
      </c>
    </row>
    <row r="530">
      <c r="A530" s="23" t="n">
        <v>514</v>
      </c>
      <c r="B530" s="24">
        <f>EDATE(TODAY(),A530)</f>
        <v/>
      </c>
      <c r="C530" s="25">
        <f>Inputs!$B$5+A530/12</f>
        <v/>
      </c>
      <c r="D530" s="15">
        <f>D529*(1+$B$8)^(1/12)+$B$10</f>
        <v/>
      </c>
      <c r="E530" s="15">
        <f>E529*(1+$B$9)^(1/12)</f>
        <v/>
      </c>
      <c r="F530" s="15">
        <f>D530+E530</f>
        <v/>
      </c>
      <c r="G530" s="15">
        <f>$B$6</f>
        <v/>
      </c>
      <c r="H530" s="15">
        <f>$B$7</f>
        <v/>
      </c>
      <c r="I530" s="22">
        <f>IF(AND(F530&gt;=G530,D530&gt;=H530),"FI reached","")</f>
        <v/>
      </c>
      <c r="J530" s="22">
        <f>IF(A530=720,"60-year model limit","")</f>
        <v/>
      </c>
    </row>
    <row r="531">
      <c r="A531" s="23" t="n">
        <v>515</v>
      </c>
      <c r="B531" s="24">
        <f>EDATE(TODAY(),A531)</f>
        <v/>
      </c>
      <c r="C531" s="25">
        <f>Inputs!$B$5+A531/12</f>
        <v/>
      </c>
      <c r="D531" s="15">
        <f>D530*(1+$B$8)^(1/12)+$B$10</f>
        <v/>
      </c>
      <c r="E531" s="15">
        <f>E530*(1+$B$9)^(1/12)</f>
        <v/>
      </c>
      <c r="F531" s="15">
        <f>D531+E531</f>
        <v/>
      </c>
      <c r="G531" s="15">
        <f>$B$6</f>
        <v/>
      </c>
      <c r="H531" s="15">
        <f>$B$7</f>
        <v/>
      </c>
      <c r="I531" s="22">
        <f>IF(AND(F531&gt;=G531,D531&gt;=H531),"FI reached","")</f>
        <v/>
      </c>
      <c r="J531" s="22">
        <f>IF(A531=720,"60-year model limit","")</f>
        <v/>
      </c>
    </row>
    <row r="532">
      <c r="A532" s="23" t="n">
        <v>516</v>
      </c>
      <c r="B532" s="24">
        <f>EDATE(TODAY(),A532)</f>
        <v/>
      </c>
      <c r="C532" s="25">
        <f>Inputs!$B$5+A532/12</f>
        <v/>
      </c>
      <c r="D532" s="15">
        <f>D531*(1+$B$8)^(1/12)+$B$10</f>
        <v/>
      </c>
      <c r="E532" s="15">
        <f>E531*(1+$B$9)^(1/12)</f>
        <v/>
      </c>
      <c r="F532" s="15">
        <f>D532+E532</f>
        <v/>
      </c>
      <c r="G532" s="15">
        <f>$B$6</f>
        <v/>
      </c>
      <c r="H532" s="15">
        <f>$B$7</f>
        <v/>
      </c>
      <c r="I532" s="22">
        <f>IF(AND(F532&gt;=G532,D532&gt;=H532),"FI reached","")</f>
        <v/>
      </c>
      <c r="J532" s="22">
        <f>IF(A532=720,"60-year model limit","")</f>
        <v/>
      </c>
    </row>
    <row r="533">
      <c r="A533" s="23" t="n">
        <v>517</v>
      </c>
      <c r="B533" s="24">
        <f>EDATE(TODAY(),A533)</f>
        <v/>
      </c>
      <c r="C533" s="25">
        <f>Inputs!$B$5+A533/12</f>
        <v/>
      </c>
      <c r="D533" s="15">
        <f>D532*(1+$B$8)^(1/12)+$B$10</f>
        <v/>
      </c>
      <c r="E533" s="15">
        <f>E532*(1+$B$9)^(1/12)</f>
        <v/>
      </c>
      <c r="F533" s="15">
        <f>D533+E533</f>
        <v/>
      </c>
      <c r="G533" s="15">
        <f>$B$6</f>
        <v/>
      </c>
      <c r="H533" s="15">
        <f>$B$7</f>
        <v/>
      </c>
      <c r="I533" s="22">
        <f>IF(AND(F533&gt;=G533,D533&gt;=H533),"FI reached","")</f>
        <v/>
      </c>
      <c r="J533" s="22">
        <f>IF(A533=720,"60-year model limit","")</f>
        <v/>
      </c>
    </row>
    <row r="534">
      <c r="A534" s="23" t="n">
        <v>518</v>
      </c>
      <c r="B534" s="24">
        <f>EDATE(TODAY(),A534)</f>
        <v/>
      </c>
      <c r="C534" s="25">
        <f>Inputs!$B$5+A534/12</f>
        <v/>
      </c>
      <c r="D534" s="15">
        <f>D533*(1+$B$8)^(1/12)+$B$10</f>
        <v/>
      </c>
      <c r="E534" s="15">
        <f>E533*(1+$B$9)^(1/12)</f>
        <v/>
      </c>
      <c r="F534" s="15">
        <f>D534+E534</f>
        <v/>
      </c>
      <c r="G534" s="15">
        <f>$B$6</f>
        <v/>
      </c>
      <c r="H534" s="15">
        <f>$B$7</f>
        <v/>
      </c>
      <c r="I534" s="22">
        <f>IF(AND(F534&gt;=G534,D534&gt;=H534),"FI reached","")</f>
        <v/>
      </c>
      <c r="J534" s="22">
        <f>IF(A534=720,"60-year model limit","")</f>
        <v/>
      </c>
    </row>
    <row r="535">
      <c r="A535" s="23" t="n">
        <v>519</v>
      </c>
      <c r="B535" s="24">
        <f>EDATE(TODAY(),A535)</f>
        <v/>
      </c>
      <c r="C535" s="25">
        <f>Inputs!$B$5+A535/12</f>
        <v/>
      </c>
      <c r="D535" s="15">
        <f>D534*(1+$B$8)^(1/12)+$B$10</f>
        <v/>
      </c>
      <c r="E535" s="15">
        <f>E534*(1+$B$9)^(1/12)</f>
        <v/>
      </c>
      <c r="F535" s="15">
        <f>D535+E535</f>
        <v/>
      </c>
      <c r="G535" s="15">
        <f>$B$6</f>
        <v/>
      </c>
      <c r="H535" s="15">
        <f>$B$7</f>
        <v/>
      </c>
      <c r="I535" s="22">
        <f>IF(AND(F535&gt;=G535,D535&gt;=H535),"FI reached","")</f>
        <v/>
      </c>
      <c r="J535" s="22">
        <f>IF(A535=720,"60-year model limit","")</f>
        <v/>
      </c>
    </row>
    <row r="536">
      <c r="A536" s="23" t="n">
        <v>520</v>
      </c>
      <c r="B536" s="24">
        <f>EDATE(TODAY(),A536)</f>
        <v/>
      </c>
      <c r="C536" s="25">
        <f>Inputs!$B$5+A536/12</f>
        <v/>
      </c>
      <c r="D536" s="15">
        <f>D535*(1+$B$8)^(1/12)+$B$10</f>
        <v/>
      </c>
      <c r="E536" s="15">
        <f>E535*(1+$B$9)^(1/12)</f>
        <v/>
      </c>
      <c r="F536" s="15">
        <f>D536+E536</f>
        <v/>
      </c>
      <c r="G536" s="15">
        <f>$B$6</f>
        <v/>
      </c>
      <c r="H536" s="15">
        <f>$B$7</f>
        <v/>
      </c>
      <c r="I536" s="22">
        <f>IF(AND(F536&gt;=G536,D536&gt;=H536),"FI reached","")</f>
        <v/>
      </c>
      <c r="J536" s="22">
        <f>IF(A536=720,"60-year model limit","")</f>
        <v/>
      </c>
    </row>
    <row r="537">
      <c r="A537" s="23" t="n">
        <v>521</v>
      </c>
      <c r="B537" s="24">
        <f>EDATE(TODAY(),A537)</f>
        <v/>
      </c>
      <c r="C537" s="25">
        <f>Inputs!$B$5+A537/12</f>
        <v/>
      </c>
      <c r="D537" s="15">
        <f>D536*(1+$B$8)^(1/12)+$B$10</f>
        <v/>
      </c>
      <c r="E537" s="15">
        <f>E536*(1+$B$9)^(1/12)</f>
        <v/>
      </c>
      <c r="F537" s="15">
        <f>D537+E537</f>
        <v/>
      </c>
      <c r="G537" s="15">
        <f>$B$6</f>
        <v/>
      </c>
      <c r="H537" s="15">
        <f>$B$7</f>
        <v/>
      </c>
      <c r="I537" s="22">
        <f>IF(AND(F537&gt;=G537,D537&gt;=H537),"FI reached","")</f>
        <v/>
      </c>
      <c r="J537" s="22">
        <f>IF(A537=720,"60-year model limit","")</f>
        <v/>
      </c>
    </row>
    <row r="538">
      <c r="A538" s="23" t="n">
        <v>522</v>
      </c>
      <c r="B538" s="24">
        <f>EDATE(TODAY(),A538)</f>
        <v/>
      </c>
      <c r="C538" s="25">
        <f>Inputs!$B$5+A538/12</f>
        <v/>
      </c>
      <c r="D538" s="15">
        <f>D537*(1+$B$8)^(1/12)+$B$10</f>
        <v/>
      </c>
      <c r="E538" s="15">
        <f>E537*(1+$B$9)^(1/12)</f>
        <v/>
      </c>
      <c r="F538" s="15">
        <f>D538+E538</f>
        <v/>
      </c>
      <c r="G538" s="15">
        <f>$B$6</f>
        <v/>
      </c>
      <c r="H538" s="15">
        <f>$B$7</f>
        <v/>
      </c>
      <c r="I538" s="22">
        <f>IF(AND(F538&gt;=G538,D538&gt;=H538),"FI reached","")</f>
        <v/>
      </c>
      <c r="J538" s="22">
        <f>IF(A538=720,"60-year model limit","")</f>
        <v/>
      </c>
    </row>
    <row r="539">
      <c r="A539" s="23" t="n">
        <v>523</v>
      </c>
      <c r="B539" s="24">
        <f>EDATE(TODAY(),A539)</f>
        <v/>
      </c>
      <c r="C539" s="25">
        <f>Inputs!$B$5+A539/12</f>
        <v/>
      </c>
      <c r="D539" s="15">
        <f>D538*(1+$B$8)^(1/12)+$B$10</f>
        <v/>
      </c>
      <c r="E539" s="15">
        <f>E538*(1+$B$9)^(1/12)</f>
        <v/>
      </c>
      <c r="F539" s="15">
        <f>D539+E539</f>
        <v/>
      </c>
      <c r="G539" s="15">
        <f>$B$6</f>
        <v/>
      </c>
      <c r="H539" s="15">
        <f>$B$7</f>
        <v/>
      </c>
      <c r="I539" s="22">
        <f>IF(AND(F539&gt;=G539,D539&gt;=H539),"FI reached","")</f>
        <v/>
      </c>
      <c r="J539" s="22">
        <f>IF(A539=720,"60-year model limit","")</f>
        <v/>
      </c>
    </row>
    <row r="540">
      <c r="A540" s="23" t="n">
        <v>524</v>
      </c>
      <c r="B540" s="24">
        <f>EDATE(TODAY(),A540)</f>
        <v/>
      </c>
      <c r="C540" s="25">
        <f>Inputs!$B$5+A540/12</f>
        <v/>
      </c>
      <c r="D540" s="15">
        <f>D539*(1+$B$8)^(1/12)+$B$10</f>
        <v/>
      </c>
      <c r="E540" s="15">
        <f>E539*(1+$B$9)^(1/12)</f>
        <v/>
      </c>
      <c r="F540" s="15">
        <f>D540+E540</f>
        <v/>
      </c>
      <c r="G540" s="15">
        <f>$B$6</f>
        <v/>
      </c>
      <c r="H540" s="15">
        <f>$B$7</f>
        <v/>
      </c>
      <c r="I540" s="22">
        <f>IF(AND(F540&gt;=G540,D540&gt;=H540),"FI reached","")</f>
        <v/>
      </c>
      <c r="J540" s="22">
        <f>IF(A540=720,"60-year model limit","")</f>
        <v/>
      </c>
    </row>
    <row r="541">
      <c r="A541" s="23" t="n">
        <v>525</v>
      </c>
      <c r="B541" s="24">
        <f>EDATE(TODAY(),A541)</f>
        <v/>
      </c>
      <c r="C541" s="25">
        <f>Inputs!$B$5+A541/12</f>
        <v/>
      </c>
      <c r="D541" s="15">
        <f>D540*(1+$B$8)^(1/12)+$B$10</f>
        <v/>
      </c>
      <c r="E541" s="15">
        <f>E540*(1+$B$9)^(1/12)</f>
        <v/>
      </c>
      <c r="F541" s="15">
        <f>D541+E541</f>
        <v/>
      </c>
      <c r="G541" s="15">
        <f>$B$6</f>
        <v/>
      </c>
      <c r="H541" s="15">
        <f>$B$7</f>
        <v/>
      </c>
      <c r="I541" s="22">
        <f>IF(AND(F541&gt;=G541,D541&gt;=H541),"FI reached","")</f>
        <v/>
      </c>
      <c r="J541" s="22">
        <f>IF(A541=720,"60-year model limit","")</f>
        <v/>
      </c>
    </row>
    <row r="542">
      <c r="A542" s="23" t="n">
        <v>526</v>
      </c>
      <c r="B542" s="24">
        <f>EDATE(TODAY(),A542)</f>
        <v/>
      </c>
      <c r="C542" s="25">
        <f>Inputs!$B$5+A542/12</f>
        <v/>
      </c>
      <c r="D542" s="15">
        <f>D541*(1+$B$8)^(1/12)+$B$10</f>
        <v/>
      </c>
      <c r="E542" s="15">
        <f>E541*(1+$B$9)^(1/12)</f>
        <v/>
      </c>
      <c r="F542" s="15">
        <f>D542+E542</f>
        <v/>
      </c>
      <c r="G542" s="15">
        <f>$B$6</f>
        <v/>
      </c>
      <c r="H542" s="15">
        <f>$B$7</f>
        <v/>
      </c>
      <c r="I542" s="22">
        <f>IF(AND(F542&gt;=G542,D542&gt;=H542),"FI reached","")</f>
        <v/>
      </c>
      <c r="J542" s="22">
        <f>IF(A542=720,"60-year model limit","")</f>
        <v/>
      </c>
    </row>
    <row r="543">
      <c r="A543" s="23" t="n">
        <v>527</v>
      </c>
      <c r="B543" s="24">
        <f>EDATE(TODAY(),A543)</f>
        <v/>
      </c>
      <c r="C543" s="25">
        <f>Inputs!$B$5+A543/12</f>
        <v/>
      </c>
      <c r="D543" s="15">
        <f>D542*(1+$B$8)^(1/12)+$B$10</f>
        <v/>
      </c>
      <c r="E543" s="15">
        <f>E542*(1+$B$9)^(1/12)</f>
        <v/>
      </c>
      <c r="F543" s="15">
        <f>D543+E543</f>
        <v/>
      </c>
      <c r="G543" s="15">
        <f>$B$6</f>
        <v/>
      </c>
      <c r="H543" s="15">
        <f>$B$7</f>
        <v/>
      </c>
      <c r="I543" s="22">
        <f>IF(AND(F543&gt;=G543,D543&gt;=H543),"FI reached","")</f>
        <v/>
      </c>
      <c r="J543" s="22">
        <f>IF(A543=720,"60-year model limit","")</f>
        <v/>
      </c>
    </row>
    <row r="544">
      <c r="A544" s="23" t="n">
        <v>528</v>
      </c>
      <c r="B544" s="24">
        <f>EDATE(TODAY(),A544)</f>
        <v/>
      </c>
      <c r="C544" s="25">
        <f>Inputs!$B$5+A544/12</f>
        <v/>
      </c>
      <c r="D544" s="15">
        <f>D543*(1+$B$8)^(1/12)+$B$10</f>
        <v/>
      </c>
      <c r="E544" s="15">
        <f>E543*(1+$B$9)^(1/12)</f>
        <v/>
      </c>
      <c r="F544" s="15">
        <f>D544+E544</f>
        <v/>
      </c>
      <c r="G544" s="15">
        <f>$B$6</f>
        <v/>
      </c>
      <c r="H544" s="15">
        <f>$B$7</f>
        <v/>
      </c>
      <c r="I544" s="22">
        <f>IF(AND(F544&gt;=G544,D544&gt;=H544),"FI reached","")</f>
        <v/>
      </c>
      <c r="J544" s="22">
        <f>IF(A544=720,"60-year model limit","")</f>
        <v/>
      </c>
    </row>
    <row r="545">
      <c r="A545" s="23" t="n">
        <v>529</v>
      </c>
      <c r="B545" s="24">
        <f>EDATE(TODAY(),A545)</f>
        <v/>
      </c>
      <c r="C545" s="25">
        <f>Inputs!$B$5+A545/12</f>
        <v/>
      </c>
      <c r="D545" s="15">
        <f>D544*(1+$B$8)^(1/12)+$B$10</f>
        <v/>
      </c>
      <c r="E545" s="15">
        <f>E544*(1+$B$9)^(1/12)</f>
        <v/>
      </c>
      <c r="F545" s="15">
        <f>D545+E545</f>
        <v/>
      </c>
      <c r="G545" s="15">
        <f>$B$6</f>
        <v/>
      </c>
      <c r="H545" s="15">
        <f>$B$7</f>
        <v/>
      </c>
      <c r="I545" s="22">
        <f>IF(AND(F545&gt;=G545,D545&gt;=H545),"FI reached","")</f>
        <v/>
      </c>
      <c r="J545" s="22">
        <f>IF(A545=720,"60-year model limit","")</f>
        <v/>
      </c>
    </row>
    <row r="546">
      <c r="A546" s="23" t="n">
        <v>530</v>
      </c>
      <c r="B546" s="24">
        <f>EDATE(TODAY(),A546)</f>
        <v/>
      </c>
      <c r="C546" s="25">
        <f>Inputs!$B$5+A546/12</f>
        <v/>
      </c>
      <c r="D546" s="15">
        <f>D545*(1+$B$8)^(1/12)+$B$10</f>
        <v/>
      </c>
      <c r="E546" s="15">
        <f>E545*(1+$B$9)^(1/12)</f>
        <v/>
      </c>
      <c r="F546" s="15">
        <f>D546+E546</f>
        <v/>
      </c>
      <c r="G546" s="15">
        <f>$B$6</f>
        <v/>
      </c>
      <c r="H546" s="15">
        <f>$B$7</f>
        <v/>
      </c>
      <c r="I546" s="22">
        <f>IF(AND(F546&gt;=G546,D546&gt;=H546),"FI reached","")</f>
        <v/>
      </c>
      <c r="J546" s="22">
        <f>IF(A546=720,"60-year model limit","")</f>
        <v/>
      </c>
    </row>
    <row r="547">
      <c r="A547" s="23" t="n">
        <v>531</v>
      </c>
      <c r="B547" s="24">
        <f>EDATE(TODAY(),A547)</f>
        <v/>
      </c>
      <c r="C547" s="25">
        <f>Inputs!$B$5+A547/12</f>
        <v/>
      </c>
      <c r="D547" s="15">
        <f>D546*(1+$B$8)^(1/12)+$B$10</f>
        <v/>
      </c>
      <c r="E547" s="15">
        <f>E546*(1+$B$9)^(1/12)</f>
        <v/>
      </c>
      <c r="F547" s="15">
        <f>D547+E547</f>
        <v/>
      </c>
      <c r="G547" s="15">
        <f>$B$6</f>
        <v/>
      </c>
      <c r="H547" s="15">
        <f>$B$7</f>
        <v/>
      </c>
      <c r="I547" s="22">
        <f>IF(AND(F547&gt;=G547,D547&gt;=H547),"FI reached","")</f>
        <v/>
      </c>
      <c r="J547" s="22">
        <f>IF(A547=720,"60-year model limit","")</f>
        <v/>
      </c>
    </row>
    <row r="548">
      <c r="A548" s="23" t="n">
        <v>532</v>
      </c>
      <c r="B548" s="24">
        <f>EDATE(TODAY(),A548)</f>
        <v/>
      </c>
      <c r="C548" s="25">
        <f>Inputs!$B$5+A548/12</f>
        <v/>
      </c>
      <c r="D548" s="15">
        <f>D547*(1+$B$8)^(1/12)+$B$10</f>
        <v/>
      </c>
      <c r="E548" s="15">
        <f>E547*(1+$B$9)^(1/12)</f>
        <v/>
      </c>
      <c r="F548" s="15">
        <f>D548+E548</f>
        <v/>
      </c>
      <c r="G548" s="15">
        <f>$B$6</f>
        <v/>
      </c>
      <c r="H548" s="15">
        <f>$B$7</f>
        <v/>
      </c>
      <c r="I548" s="22">
        <f>IF(AND(F548&gt;=G548,D548&gt;=H548),"FI reached","")</f>
        <v/>
      </c>
      <c r="J548" s="22">
        <f>IF(A548=720,"60-year model limit","")</f>
        <v/>
      </c>
    </row>
    <row r="549">
      <c r="A549" s="23" t="n">
        <v>533</v>
      </c>
      <c r="B549" s="24">
        <f>EDATE(TODAY(),A549)</f>
        <v/>
      </c>
      <c r="C549" s="25">
        <f>Inputs!$B$5+A549/12</f>
        <v/>
      </c>
      <c r="D549" s="15">
        <f>D548*(1+$B$8)^(1/12)+$B$10</f>
        <v/>
      </c>
      <c r="E549" s="15">
        <f>E548*(1+$B$9)^(1/12)</f>
        <v/>
      </c>
      <c r="F549" s="15">
        <f>D549+E549</f>
        <v/>
      </c>
      <c r="G549" s="15">
        <f>$B$6</f>
        <v/>
      </c>
      <c r="H549" s="15">
        <f>$B$7</f>
        <v/>
      </c>
      <c r="I549" s="22">
        <f>IF(AND(F549&gt;=G549,D549&gt;=H549),"FI reached","")</f>
        <v/>
      </c>
      <c r="J549" s="22">
        <f>IF(A549=720,"60-year model limit","")</f>
        <v/>
      </c>
    </row>
    <row r="550">
      <c r="A550" s="23" t="n">
        <v>534</v>
      </c>
      <c r="B550" s="24">
        <f>EDATE(TODAY(),A550)</f>
        <v/>
      </c>
      <c r="C550" s="25">
        <f>Inputs!$B$5+A550/12</f>
        <v/>
      </c>
      <c r="D550" s="15">
        <f>D549*(1+$B$8)^(1/12)+$B$10</f>
        <v/>
      </c>
      <c r="E550" s="15">
        <f>E549*(1+$B$9)^(1/12)</f>
        <v/>
      </c>
      <c r="F550" s="15">
        <f>D550+E550</f>
        <v/>
      </c>
      <c r="G550" s="15">
        <f>$B$6</f>
        <v/>
      </c>
      <c r="H550" s="15">
        <f>$B$7</f>
        <v/>
      </c>
      <c r="I550" s="22">
        <f>IF(AND(F550&gt;=G550,D550&gt;=H550),"FI reached","")</f>
        <v/>
      </c>
      <c r="J550" s="22">
        <f>IF(A550=720,"60-year model limit","")</f>
        <v/>
      </c>
    </row>
    <row r="551">
      <c r="A551" s="23" t="n">
        <v>535</v>
      </c>
      <c r="B551" s="24">
        <f>EDATE(TODAY(),A551)</f>
        <v/>
      </c>
      <c r="C551" s="25">
        <f>Inputs!$B$5+A551/12</f>
        <v/>
      </c>
      <c r="D551" s="15">
        <f>D550*(1+$B$8)^(1/12)+$B$10</f>
        <v/>
      </c>
      <c r="E551" s="15">
        <f>E550*(1+$B$9)^(1/12)</f>
        <v/>
      </c>
      <c r="F551" s="15">
        <f>D551+E551</f>
        <v/>
      </c>
      <c r="G551" s="15">
        <f>$B$6</f>
        <v/>
      </c>
      <c r="H551" s="15">
        <f>$B$7</f>
        <v/>
      </c>
      <c r="I551" s="22">
        <f>IF(AND(F551&gt;=G551,D551&gt;=H551),"FI reached","")</f>
        <v/>
      </c>
      <c r="J551" s="22">
        <f>IF(A551=720,"60-year model limit","")</f>
        <v/>
      </c>
    </row>
    <row r="552">
      <c r="A552" s="23" t="n">
        <v>536</v>
      </c>
      <c r="B552" s="24">
        <f>EDATE(TODAY(),A552)</f>
        <v/>
      </c>
      <c r="C552" s="25">
        <f>Inputs!$B$5+A552/12</f>
        <v/>
      </c>
      <c r="D552" s="15">
        <f>D551*(1+$B$8)^(1/12)+$B$10</f>
        <v/>
      </c>
      <c r="E552" s="15">
        <f>E551*(1+$B$9)^(1/12)</f>
        <v/>
      </c>
      <c r="F552" s="15">
        <f>D552+E552</f>
        <v/>
      </c>
      <c r="G552" s="15">
        <f>$B$6</f>
        <v/>
      </c>
      <c r="H552" s="15">
        <f>$B$7</f>
        <v/>
      </c>
      <c r="I552" s="22">
        <f>IF(AND(F552&gt;=G552,D552&gt;=H552),"FI reached","")</f>
        <v/>
      </c>
      <c r="J552" s="22">
        <f>IF(A552=720,"60-year model limit","")</f>
        <v/>
      </c>
    </row>
    <row r="553">
      <c r="A553" s="23" t="n">
        <v>537</v>
      </c>
      <c r="B553" s="24">
        <f>EDATE(TODAY(),A553)</f>
        <v/>
      </c>
      <c r="C553" s="25">
        <f>Inputs!$B$5+A553/12</f>
        <v/>
      </c>
      <c r="D553" s="15">
        <f>D552*(1+$B$8)^(1/12)+$B$10</f>
        <v/>
      </c>
      <c r="E553" s="15">
        <f>E552*(1+$B$9)^(1/12)</f>
        <v/>
      </c>
      <c r="F553" s="15">
        <f>D553+E553</f>
        <v/>
      </c>
      <c r="G553" s="15">
        <f>$B$6</f>
        <v/>
      </c>
      <c r="H553" s="15">
        <f>$B$7</f>
        <v/>
      </c>
      <c r="I553" s="22">
        <f>IF(AND(F553&gt;=G553,D553&gt;=H553),"FI reached","")</f>
        <v/>
      </c>
      <c r="J553" s="22">
        <f>IF(A553=720,"60-year model limit","")</f>
        <v/>
      </c>
    </row>
    <row r="554">
      <c r="A554" s="23" t="n">
        <v>538</v>
      </c>
      <c r="B554" s="24">
        <f>EDATE(TODAY(),A554)</f>
        <v/>
      </c>
      <c r="C554" s="25">
        <f>Inputs!$B$5+A554/12</f>
        <v/>
      </c>
      <c r="D554" s="15">
        <f>D553*(1+$B$8)^(1/12)+$B$10</f>
        <v/>
      </c>
      <c r="E554" s="15">
        <f>E553*(1+$B$9)^(1/12)</f>
        <v/>
      </c>
      <c r="F554" s="15">
        <f>D554+E554</f>
        <v/>
      </c>
      <c r="G554" s="15">
        <f>$B$6</f>
        <v/>
      </c>
      <c r="H554" s="15">
        <f>$B$7</f>
        <v/>
      </c>
      <c r="I554" s="22">
        <f>IF(AND(F554&gt;=G554,D554&gt;=H554),"FI reached","")</f>
        <v/>
      </c>
      <c r="J554" s="22">
        <f>IF(A554=720,"60-year model limit","")</f>
        <v/>
      </c>
    </row>
    <row r="555">
      <c r="A555" s="23" t="n">
        <v>539</v>
      </c>
      <c r="B555" s="24">
        <f>EDATE(TODAY(),A555)</f>
        <v/>
      </c>
      <c r="C555" s="25">
        <f>Inputs!$B$5+A555/12</f>
        <v/>
      </c>
      <c r="D555" s="15">
        <f>D554*(1+$B$8)^(1/12)+$B$10</f>
        <v/>
      </c>
      <c r="E555" s="15">
        <f>E554*(1+$B$9)^(1/12)</f>
        <v/>
      </c>
      <c r="F555" s="15">
        <f>D555+E555</f>
        <v/>
      </c>
      <c r="G555" s="15">
        <f>$B$6</f>
        <v/>
      </c>
      <c r="H555" s="15">
        <f>$B$7</f>
        <v/>
      </c>
      <c r="I555" s="22">
        <f>IF(AND(F555&gt;=G555,D555&gt;=H555),"FI reached","")</f>
        <v/>
      </c>
      <c r="J555" s="22">
        <f>IF(A555=720,"60-year model limit","")</f>
        <v/>
      </c>
    </row>
    <row r="556">
      <c r="A556" s="23" t="n">
        <v>540</v>
      </c>
      <c r="B556" s="24">
        <f>EDATE(TODAY(),A556)</f>
        <v/>
      </c>
      <c r="C556" s="25">
        <f>Inputs!$B$5+A556/12</f>
        <v/>
      </c>
      <c r="D556" s="15">
        <f>D555*(1+$B$8)^(1/12)+$B$10</f>
        <v/>
      </c>
      <c r="E556" s="15">
        <f>E555*(1+$B$9)^(1/12)</f>
        <v/>
      </c>
      <c r="F556" s="15">
        <f>D556+E556</f>
        <v/>
      </c>
      <c r="G556" s="15">
        <f>$B$6</f>
        <v/>
      </c>
      <c r="H556" s="15">
        <f>$B$7</f>
        <v/>
      </c>
      <c r="I556" s="22">
        <f>IF(AND(F556&gt;=G556,D556&gt;=H556),"FI reached","")</f>
        <v/>
      </c>
      <c r="J556" s="22">
        <f>IF(A556=720,"60-year model limit","")</f>
        <v/>
      </c>
    </row>
    <row r="557">
      <c r="A557" s="23" t="n">
        <v>541</v>
      </c>
      <c r="B557" s="24">
        <f>EDATE(TODAY(),A557)</f>
        <v/>
      </c>
      <c r="C557" s="25">
        <f>Inputs!$B$5+A557/12</f>
        <v/>
      </c>
      <c r="D557" s="15">
        <f>D556*(1+$B$8)^(1/12)+$B$10</f>
        <v/>
      </c>
      <c r="E557" s="15">
        <f>E556*(1+$B$9)^(1/12)</f>
        <v/>
      </c>
      <c r="F557" s="15">
        <f>D557+E557</f>
        <v/>
      </c>
      <c r="G557" s="15">
        <f>$B$6</f>
        <v/>
      </c>
      <c r="H557" s="15">
        <f>$B$7</f>
        <v/>
      </c>
      <c r="I557" s="22">
        <f>IF(AND(F557&gt;=G557,D557&gt;=H557),"FI reached","")</f>
        <v/>
      </c>
      <c r="J557" s="22">
        <f>IF(A557=720,"60-year model limit","")</f>
        <v/>
      </c>
    </row>
    <row r="558">
      <c r="A558" s="23" t="n">
        <v>542</v>
      </c>
      <c r="B558" s="24">
        <f>EDATE(TODAY(),A558)</f>
        <v/>
      </c>
      <c r="C558" s="25">
        <f>Inputs!$B$5+A558/12</f>
        <v/>
      </c>
      <c r="D558" s="15">
        <f>D557*(1+$B$8)^(1/12)+$B$10</f>
        <v/>
      </c>
      <c r="E558" s="15">
        <f>E557*(1+$B$9)^(1/12)</f>
        <v/>
      </c>
      <c r="F558" s="15">
        <f>D558+E558</f>
        <v/>
      </c>
      <c r="G558" s="15">
        <f>$B$6</f>
        <v/>
      </c>
      <c r="H558" s="15">
        <f>$B$7</f>
        <v/>
      </c>
      <c r="I558" s="22">
        <f>IF(AND(F558&gt;=G558,D558&gt;=H558),"FI reached","")</f>
        <v/>
      </c>
      <c r="J558" s="22">
        <f>IF(A558=720,"60-year model limit","")</f>
        <v/>
      </c>
    </row>
    <row r="559">
      <c r="A559" s="23" t="n">
        <v>543</v>
      </c>
      <c r="B559" s="24">
        <f>EDATE(TODAY(),A559)</f>
        <v/>
      </c>
      <c r="C559" s="25">
        <f>Inputs!$B$5+A559/12</f>
        <v/>
      </c>
      <c r="D559" s="15">
        <f>D558*(1+$B$8)^(1/12)+$B$10</f>
        <v/>
      </c>
      <c r="E559" s="15">
        <f>E558*(1+$B$9)^(1/12)</f>
        <v/>
      </c>
      <c r="F559" s="15">
        <f>D559+E559</f>
        <v/>
      </c>
      <c r="G559" s="15">
        <f>$B$6</f>
        <v/>
      </c>
      <c r="H559" s="15">
        <f>$B$7</f>
        <v/>
      </c>
      <c r="I559" s="22">
        <f>IF(AND(F559&gt;=G559,D559&gt;=H559),"FI reached","")</f>
        <v/>
      </c>
      <c r="J559" s="22">
        <f>IF(A559=720,"60-year model limit","")</f>
        <v/>
      </c>
    </row>
    <row r="560">
      <c r="A560" s="23" t="n">
        <v>544</v>
      </c>
      <c r="B560" s="24">
        <f>EDATE(TODAY(),A560)</f>
        <v/>
      </c>
      <c r="C560" s="25">
        <f>Inputs!$B$5+A560/12</f>
        <v/>
      </c>
      <c r="D560" s="15">
        <f>D559*(1+$B$8)^(1/12)+$B$10</f>
        <v/>
      </c>
      <c r="E560" s="15">
        <f>E559*(1+$B$9)^(1/12)</f>
        <v/>
      </c>
      <c r="F560" s="15">
        <f>D560+E560</f>
        <v/>
      </c>
      <c r="G560" s="15">
        <f>$B$6</f>
        <v/>
      </c>
      <c r="H560" s="15">
        <f>$B$7</f>
        <v/>
      </c>
      <c r="I560" s="22">
        <f>IF(AND(F560&gt;=G560,D560&gt;=H560),"FI reached","")</f>
        <v/>
      </c>
      <c r="J560" s="22">
        <f>IF(A560=720,"60-year model limit","")</f>
        <v/>
      </c>
    </row>
    <row r="561">
      <c r="A561" s="23" t="n">
        <v>545</v>
      </c>
      <c r="B561" s="24">
        <f>EDATE(TODAY(),A561)</f>
        <v/>
      </c>
      <c r="C561" s="25">
        <f>Inputs!$B$5+A561/12</f>
        <v/>
      </c>
      <c r="D561" s="15">
        <f>D560*(1+$B$8)^(1/12)+$B$10</f>
        <v/>
      </c>
      <c r="E561" s="15">
        <f>E560*(1+$B$9)^(1/12)</f>
        <v/>
      </c>
      <c r="F561" s="15">
        <f>D561+E561</f>
        <v/>
      </c>
      <c r="G561" s="15">
        <f>$B$6</f>
        <v/>
      </c>
      <c r="H561" s="15">
        <f>$B$7</f>
        <v/>
      </c>
      <c r="I561" s="22">
        <f>IF(AND(F561&gt;=G561,D561&gt;=H561),"FI reached","")</f>
        <v/>
      </c>
      <c r="J561" s="22">
        <f>IF(A561=720,"60-year model limit","")</f>
        <v/>
      </c>
    </row>
    <row r="562">
      <c r="A562" s="23" t="n">
        <v>546</v>
      </c>
      <c r="B562" s="24">
        <f>EDATE(TODAY(),A562)</f>
        <v/>
      </c>
      <c r="C562" s="25">
        <f>Inputs!$B$5+A562/12</f>
        <v/>
      </c>
      <c r="D562" s="15">
        <f>D561*(1+$B$8)^(1/12)+$B$10</f>
        <v/>
      </c>
      <c r="E562" s="15">
        <f>E561*(1+$B$9)^(1/12)</f>
        <v/>
      </c>
      <c r="F562" s="15">
        <f>D562+E562</f>
        <v/>
      </c>
      <c r="G562" s="15">
        <f>$B$6</f>
        <v/>
      </c>
      <c r="H562" s="15">
        <f>$B$7</f>
        <v/>
      </c>
      <c r="I562" s="22">
        <f>IF(AND(F562&gt;=G562,D562&gt;=H562),"FI reached","")</f>
        <v/>
      </c>
      <c r="J562" s="22">
        <f>IF(A562=720,"60-year model limit","")</f>
        <v/>
      </c>
    </row>
    <row r="563">
      <c r="A563" s="23" t="n">
        <v>547</v>
      </c>
      <c r="B563" s="24">
        <f>EDATE(TODAY(),A563)</f>
        <v/>
      </c>
      <c r="C563" s="25">
        <f>Inputs!$B$5+A563/12</f>
        <v/>
      </c>
      <c r="D563" s="15">
        <f>D562*(1+$B$8)^(1/12)+$B$10</f>
        <v/>
      </c>
      <c r="E563" s="15">
        <f>E562*(1+$B$9)^(1/12)</f>
        <v/>
      </c>
      <c r="F563" s="15">
        <f>D563+E563</f>
        <v/>
      </c>
      <c r="G563" s="15">
        <f>$B$6</f>
        <v/>
      </c>
      <c r="H563" s="15">
        <f>$B$7</f>
        <v/>
      </c>
      <c r="I563" s="22">
        <f>IF(AND(F563&gt;=G563,D563&gt;=H563),"FI reached","")</f>
        <v/>
      </c>
      <c r="J563" s="22">
        <f>IF(A563=720,"60-year model limit","")</f>
        <v/>
      </c>
    </row>
    <row r="564">
      <c r="A564" s="23" t="n">
        <v>548</v>
      </c>
      <c r="B564" s="24">
        <f>EDATE(TODAY(),A564)</f>
        <v/>
      </c>
      <c r="C564" s="25">
        <f>Inputs!$B$5+A564/12</f>
        <v/>
      </c>
      <c r="D564" s="15">
        <f>D563*(1+$B$8)^(1/12)+$B$10</f>
        <v/>
      </c>
      <c r="E564" s="15">
        <f>E563*(1+$B$9)^(1/12)</f>
        <v/>
      </c>
      <c r="F564" s="15">
        <f>D564+E564</f>
        <v/>
      </c>
      <c r="G564" s="15">
        <f>$B$6</f>
        <v/>
      </c>
      <c r="H564" s="15">
        <f>$B$7</f>
        <v/>
      </c>
      <c r="I564" s="22">
        <f>IF(AND(F564&gt;=G564,D564&gt;=H564),"FI reached","")</f>
        <v/>
      </c>
      <c r="J564" s="22">
        <f>IF(A564=720,"60-year model limit","")</f>
        <v/>
      </c>
    </row>
    <row r="565">
      <c r="A565" s="23" t="n">
        <v>549</v>
      </c>
      <c r="B565" s="24">
        <f>EDATE(TODAY(),A565)</f>
        <v/>
      </c>
      <c r="C565" s="25">
        <f>Inputs!$B$5+A565/12</f>
        <v/>
      </c>
      <c r="D565" s="15">
        <f>D564*(1+$B$8)^(1/12)+$B$10</f>
        <v/>
      </c>
      <c r="E565" s="15">
        <f>E564*(1+$B$9)^(1/12)</f>
        <v/>
      </c>
      <c r="F565" s="15">
        <f>D565+E565</f>
        <v/>
      </c>
      <c r="G565" s="15">
        <f>$B$6</f>
        <v/>
      </c>
      <c r="H565" s="15">
        <f>$B$7</f>
        <v/>
      </c>
      <c r="I565" s="22">
        <f>IF(AND(F565&gt;=G565,D565&gt;=H565),"FI reached","")</f>
        <v/>
      </c>
      <c r="J565" s="22">
        <f>IF(A565=720,"60-year model limit","")</f>
        <v/>
      </c>
    </row>
    <row r="566">
      <c r="A566" s="23" t="n">
        <v>550</v>
      </c>
      <c r="B566" s="24">
        <f>EDATE(TODAY(),A566)</f>
        <v/>
      </c>
      <c r="C566" s="25">
        <f>Inputs!$B$5+A566/12</f>
        <v/>
      </c>
      <c r="D566" s="15">
        <f>D565*(1+$B$8)^(1/12)+$B$10</f>
        <v/>
      </c>
      <c r="E566" s="15">
        <f>E565*(1+$B$9)^(1/12)</f>
        <v/>
      </c>
      <c r="F566" s="15">
        <f>D566+E566</f>
        <v/>
      </c>
      <c r="G566" s="15">
        <f>$B$6</f>
        <v/>
      </c>
      <c r="H566" s="15">
        <f>$B$7</f>
        <v/>
      </c>
      <c r="I566" s="22">
        <f>IF(AND(F566&gt;=G566,D566&gt;=H566),"FI reached","")</f>
        <v/>
      </c>
      <c r="J566" s="22">
        <f>IF(A566=720,"60-year model limit","")</f>
        <v/>
      </c>
    </row>
    <row r="567">
      <c r="A567" s="23" t="n">
        <v>551</v>
      </c>
      <c r="B567" s="24">
        <f>EDATE(TODAY(),A567)</f>
        <v/>
      </c>
      <c r="C567" s="25">
        <f>Inputs!$B$5+A567/12</f>
        <v/>
      </c>
      <c r="D567" s="15">
        <f>D566*(1+$B$8)^(1/12)+$B$10</f>
        <v/>
      </c>
      <c r="E567" s="15">
        <f>E566*(1+$B$9)^(1/12)</f>
        <v/>
      </c>
      <c r="F567" s="15">
        <f>D567+E567</f>
        <v/>
      </c>
      <c r="G567" s="15">
        <f>$B$6</f>
        <v/>
      </c>
      <c r="H567" s="15">
        <f>$B$7</f>
        <v/>
      </c>
      <c r="I567" s="22">
        <f>IF(AND(F567&gt;=G567,D567&gt;=H567),"FI reached","")</f>
        <v/>
      </c>
      <c r="J567" s="22">
        <f>IF(A567=720,"60-year model limit","")</f>
        <v/>
      </c>
    </row>
    <row r="568">
      <c r="A568" s="23" t="n">
        <v>552</v>
      </c>
      <c r="B568" s="24">
        <f>EDATE(TODAY(),A568)</f>
        <v/>
      </c>
      <c r="C568" s="25">
        <f>Inputs!$B$5+A568/12</f>
        <v/>
      </c>
      <c r="D568" s="15">
        <f>D567*(1+$B$8)^(1/12)+$B$10</f>
        <v/>
      </c>
      <c r="E568" s="15">
        <f>E567*(1+$B$9)^(1/12)</f>
        <v/>
      </c>
      <c r="F568" s="15">
        <f>D568+E568</f>
        <v/>
      </c>
      <c r="G568" s="15">
        <f>$B$6</f>
        <v/>
      </c>
      <c r="H568" s="15">
        <f>$B$7</f>
        <v/>
      </c>
      <c r="I568" s="22">
        <f>IF(AND(F568&gt;=G568,D568&gt;=H568),"FI reached","")</f>
        <v/>
      </c>
      <c r="J568" s="22">
        <f>IF(A568=720,"60-year model limit","")</f>
        <v/>
      </c>
    </row>
    <row r="569">
      <c r="A569" s="23" t="n">
        <v>553</v>
      </c>
      <c r="B569" s="24">
        <f>EDATE(TODAY(),A569)</f>
        <v/>
      </c>
      <c r="C569" s="25">
        <f>Inputs!$B$5+A569/12</f>
        <v/>
      </c>
      <c r="D569" s="15">
        <f>D568*(1+$B$8)^(1/12)+$B$10</f>
        <v/>
      </c>
      <c r="E569" s="15">
        <f>E568*(1+$B$9)^(1/12)</f>
        <v/>
      </c>
      <c r="F569" s="15">
        <f>D569+E569</f>
        <v/>
      </c>
      <c r="G569" s="15">
        <f>$B$6</f>
        <v/>
      </c>
      <c r="H569" s="15">
        <f>$B$7</f>
        <v/>
      </c>
      <c r="I569" s="22">
        <f>IF(AND(F569&gt;=G569,D569&gt;=H569),"FI reached","")</f>
        <v/>
      </c>
      <c r="J569" s="22">
        <f>IF(A569=720,"60-year model limit","")</f>
        <v/>
      </c>
    </row>
    <row r="570">
      <c r="A570" s="23" t="n">
        <v>554</v>
      </c>
      <c r="B570" s="24">
        <f>EDATE(TODAY(),A570)</f>
        <v/>
      </c>
      <c r="C570" s="25">
        <f>Inputs!$B$5+A570/12</f>
        <v/>
      </c>
      <c r="D570" s="15">
        <f>D569*(1+$B$8)^(1/12)+$B$10</f>
        <v/>
      </c>
      <c r="E570" s="15">
        <f>E569*(1+$B$9)^(1/12)</f>
        <v/>
      </c>
      <c r="F570" s="15">
        <f>D570+E570</f>
        <v/>
      </c>
      <c r="G570" s="15">
        <f>$B$6</f>
        <v/>
      </c>
      <c r="H570" s="15">
        <f>$B$7</f>
        <v/>
      </c>
      <c r="I570" s="22">
        <f>IF(AND(F570&gt;=G570,D570&gt;=H570),"FI reached","")</f>
        <v/>
      </c>
      <c r="J570" s="22">
        <f>IF(A570=720,"60-year model limit","")</f>
        <v/>
      </c>
    </row>
    <row r="571">
      <c r="A571" s="23" t="n">
        <v>555</v>
      </c>
      <c r="B571" s="24">
        <f>EDATE(TODAY(),A571)</f>
        <v/>
      </c>
      <c r="C571" s="25">
        <f>Inputs!$B$5+A571/12</f>
        <v/>
      </c>
      <c r="D571" s="15">
        <f>D570*(1+$B$8)^(1/12)+$B$10</f>
        <v/>
      </c>
      <c r="E571" s="15">
        <f>E570*(1+$B$9)^(1/12)</f>
        <v/>
      </c>
      <c r="F571" s="15">
        <f>D571+E571</f>
        <v/>
      </c>
      <c r="G571" s="15">
        <f>$B$6</f>
        <v/>
      </c>
      <c r="H571" s="15">
        <f>$B$7</f>
        <v/>
      </c>
      <c r="I571" s="22">
        <f>IF(AND(F571&gt;=G571,D571&gt;=H571),"FI reached","")</f>
        <v/>
      </c>
      <c r="J571" s="22">
        <f>IF(A571=720,"60-year model limit","")</f>
        <v/>
      </c>
    </row>
    <row r="572">
      <c r="A572" s="23" t="n">
        <v>556</v>
      </c>
      <c r="B572" s="24">
        <f>EDATE(TODAY(),A572)</f>
        <v/>
      </c>
      <c r="C572" s="25">
        <f>Inputs!$B$5+A572/12</f>
        <v/>
      </c>
      <c r="D572" s="15">
        <f>D571*(1+$B$8)^(1/12)+$B$10</f>
        <v/>
      </c>
      <c r="E572" s="15">
        <f>E571*(1+$B$9)^(1/12)</f>
        <v/>
      </c>
      <c r="F572" s="15">
        <f>D572+E572</f>
        <v/>
      </c>
      <c r="G572" s="15">
        <f>$B$6</f>
        <v/>
      </c>
      <c r="H572" s="15">
        <f>$B$7</f>
        <v/>
      </c>
      <c r="I572" s="22">
        <f>IF(AND(F572&gt;=G572,D572&gt;=H572),"FI reached","")</f>
        <v/>
      </c>
      <c r="J572" s="22">
        <f>IF(A572=720,"60-year model limit","")</f>
        <v/>
      </c>
    </row>
    <row r="573">
      <c r="A573" s="23" t="n">
        <v>557</v>
      </c>
      <c r="B573" s="24">
        <f>EDATE(TODAY(),A573)</f>
        <v/>
      </c>
      <c r="C573" s="25">
        <f>Inputs!$B$5+A573/12</f>
        <v/>
      </c>
      <c r="D573" s="15">
        <f>D572*(1+$B$8)^(1/12)+$B$10</f>
        <v/>
      </c>
      <c r="E573" s="15">
        <f>E572*(1+$B$9)^(1/12)</f>
        <v/>
      </c>
      <c r="F573" s="15">
        <f>D573+E573</f>
        <v/>
      </c>
      <c r="G573" s="15">
        <f>$B$6</f>
        <v/>
      </c>
      <c r="H573" s="15">
        <f>$B$7</f>
        <v/>
      </c>
      <c r="I573" s="22">
        <f>IF(AND(F573&gt;=G573,D573&gt;=H573),"FI reached","")</f>
        <v/>
      </c>
      <c r="J573" s="22">
        <f>IF(A573=720,"60-year model limit","")</f>
        <v/>
      </c>
    </row>
    <row r="574">
      <c r="A574" s="23" t="n">
        <v>558</v>
      </c>
      <c r="B574" s="24">
        <f>EDATE(TODAY(),A574)</f>
        <v/>
      </c>
      <c r="C574" s="25">
        <f>Inputs!$B$5+A574/12</f>
        <v/>
      </c>
      <c r="D574" s="15">
        <f>D573*(1+$B$8)^(1/12)+$B$10</f>
        <v/>
      </c>
      <c r="E574" s="15">
        <f>E573*(1+$B$9)^(1/12)</f>
        <v/>
      </c>
      <c r="F574" s="15">
        <f>D574+E574</f>
        <v/>
      </c>
      <c r="G574" s="15">
        <f>$B$6</f>
        <v/>
      </c>
      <c r="H574" s="15">
        <f>$B$7</f>
        <v/>
      </c>
      <c r="I574" s="22">
        <f>IF(AND(F574&gt;=G574,D574&gt;=H574),"FI reached","")</f>
        <v/>
      </c>
      <c r="J574" s="22">
        <f>IF(A574=720,"60-year model limit","")</f>
        <v/>
      </c>
    </row>
    <row r="575">
      <c r="A575" s="23" t="n">
        <v>559</v>
      </c>
      <c r="B575" s="24">
        <f>EDATE(TODAY(),A575)</f>
        <v/>
      </c>
      <c r="C575" s="25">
        <f>Inputs!$B$5+A575/12</f>
        <v/>
      </c>
      <c r="D575" s="15">
        <f>D574*(1+$B$8)^(1/12)+$B$10</f>
        <v/>
      </c>
      <c r="E575" s="15">
        <f>E574*(1+$B$9)^(1/12)</f>
        <v/>
      </c>
      <c r="F575" s="15">
        <f>D575+E575</f>
        <v/>
      </c>
      <c r="G575" s="15">
        <f>$B$6</f>
        <v/>
      </c>
      <c r="H575" s="15">
        <f>$B$7</f>
        <v/>
      </c>
      <c r="I575" s="22">
        <f>IF(AND(F575&gt;=G575,D575&gt;=H575),"FI reached","")</f>
        <v/>
      </c>
      <c r="J575" s="22">
        <f>IF(A575=720,"60-year model limit","")</f>
        <v/>
      </c>
    </row>
    <row r="576">
      <c r="A576" s="23" t="n">
        <v>560</v>
      </c>
      <c r="B576" s="24">
        <f>EDATE(TODAY(),A576)</f>
        <v/>
      </c>
      <c r="C576" s="25">
        <f>Inputs!$B$5+A576/12</f>
        <v/>
      </c>
      <c r="D576" s="15">
        <f>D575*(1+$B$8)^(1/12)+$B$10</f>
        <v/>
      </c>
      <c r="E576" s="15">
        <f>E575*(1+$B$9)^(1/12)</f>
        <v/>
      </c>
      <c r="F576" s="15">
        <f>D576+E576</f>
        <v/>
      </c>
      <c r="G576" s="15">
        <f>$B$6</f>
        <v/>
      </c>
      <c r="H576" s="15">
        <f>$B$7</f>
        <v/>
      </c>
      <c r="I576" s="22">
        <f>IF(AND(F576&gt;=G576,D576&gt;=H576),"FI reached","")</f>
        <v/>
      </c>
      <c r="J576" s="22">
        <f>IF(A576=720,"60-year model limit","")</f>
        <v/>
      </c>
    </row>
    <row r="577">
      <c r="A577" s="23" t="n">
        <v>561</v>
      </c>
      <c r="B577" s="24">
        <f>EDATE(TODAY(),A577)</f>
        <v/>
      </c>
      <c r="C577" s="25">
        <f>Inputs!$B$5+A577/12</f>
        <v/>
      </c>
      <c r="D577" s="15">
        <f>D576*(1+$B$8)^(1/12)+$B$10</f>
        <v/>
      </c>
      <c r="E577" s="15">
        <f>E576*(1+$B$9)^(1/12)</f>
        <v/>
      </c>
      <c r="F577" s="15">
        <f>D577+E577</f>
        <v/>
      </c>
      <c r="G577" s="15">
        <f>$B$6</f>
        <v/>
      </c>
      <c r="H577" s="15">
        <f>$B$7</f>
        <v/>
      </c>
      <c r="I577" s="22">
        <f>IF(AND(F577&gt;=G577,D577&gt;=H577),"FI reached","")</f>
        <v/>
      </c>
      <c r="J577" s="22">
        <f>IF(A577=720,"60-year model limit","")</f>
        <v/>
      </c>
    </row>
    <row r="578">
      <c r="A578" s="23" t="n">
        <v>562</v>
      </c>
      <c r="B578" s="24">
        <f>EDATE(TODAY(),A578)</f>
        <v/>
      </c>
      <c r="C578" s="25">
        <f>Inputs!$B$5+A578/12</f>
        <v/>
      </c>
      <c r="D578" s="15">
        <f>D577*(1+$B$8)^(1/12)+$B$10</f>
        <v/>
      </c>
      <c r="E578" s="15">
        <f>E577*(1+$B$9)^(1/12)</f>
        <v/>
      </c>
      <c r="F578" s="15">
        <f>D578+E578</f>
        <v/>
      </c>
      <c r="G578" s="15">
        <f>$B$6</f>
        <v/>
      </c>
      <c r="H578" s="15">
        <f>$B$7</f>
        <v/>
      </c>
      <c r="I578" s="22">
        <f>IF(AND(F578&gt;=G578,D578&gt;=H578),"FI reached","")</f>
        <v/>
      </c>
      <c r="J578" s="22">
        <f>IF(A578=720,"60-year model limit","")</f>
        <v/>
      </c>
    </row>
    <row r="579">
      <c r="A579" s="23" t="n">
        <v>563</v>
      </c>
      <c r="B579" s="24">
        <f>EDATE(TODAY(),A579)</f>
        <v/>
      </c>
      <c r="C579" s="25">
        <f>Inputs!$B$5+A579/12</f>
        <v/>
      </c>
      <c r="D579" s="15">
        <f>D578*(1+$B$8)^(1/12)+$B$10</f>
        <v/>
      </c>
      <c r="E579" s="15">
        <f>E578*(1+$B$9)^(1/12)</f>
        <v/>
      </c>
      <c r="F579" s="15">
        <f>D579+E579</f>
        <v/>
      </c>
      <c r="G579" s="15">
        <f>$B$6</f>
        <v/>
      </c>
      <c r="H579" s="15">
        <f>$B$7</f>
        <v/>
      </c>
      <c r="I579" s="22">
        <f>IF(AND(F579&gt;=G579,D579&gt;=H579),"FI reached","")</f>
        <v/>
      </c>
      <c r="J579" s="22">
        <f>IF(A579=720,"60-year model limit","")</f>
        <v/>
      </c>
    </row>
    <row r="580">
      <c r="A580" s="23" t="n">
        <v>564</v>
      </c>
      <c r="B580" s="24">
        <f>EDATE(TODAY(),A580)</f>
        <v/>
      </c>
      <c r="C580" s="25">
        <f>Inputs!$B$5+A580/12</f>
        <v/>
      </c>
      <c r="D580" s="15">
        <f>D579*(1+$B$8)^(1/12)+$B$10</f>
        <v/>
      </c>
      <c r="E580" s="15">
        <f>E579*(1+$B$9)^(1/12)</f>
        <v/>
      </c>
      <c r="F580" s="15">
        <f>D580+E580</f>
        <v/>
      </c>
      <c r="G580" s="15">
        <f>$B$6</f>
        <v/>
      </c>
      <c r="H580" s="15">
        <f>$B$7</f>
        <v/>
      </c>
      <c r="I580" s="22">
        <f>IF(AND(F580&gt;=G580,D580&gt;=H580),"FI reached","")</f>
        <v/>
      </c>
      <c r="J580" s="22">
        <f>IF(A580=720,"60-year model limit","")</f>
        <v/>
      </c>
    </row>
    <row r="581">
      <c r="A581" s="23" t="n">
        <v>565</v>
      </c>
      <c r="B581" s="24">
        <f>EDATE(TODAY(),A581)</f>
        <v/>
      </c>
      <c r="C581" s="25">
        <f>Inputs!$B$5+A581/12</f>
        <v/>
      </c>
      <c r="D581" s="15">
        <f>D580*(1+$B$8)^(1/12)+$B$10</f>
        <v/>
      </c>
      <c r="E581" s="15">
        <f>E580*(1+$B$9)^(1/12)</f>
        <v/>
      </c>
      <c r="F581" s="15">
        <f>D581+E581</f>
        <v/>
      </c>
      <c r="G581" s="15">
        <f>$B$6</f>
        <v/>
      </c>
      <c r="H581" s="15">
        <f>$B$7</f>
        <v/>
      </c>
      <c r="I581" s="22">
        <f>IF(AND(F581&gt;=G581,D581&gt;=H581),"FI reached","")</f>
        <v/>
      </c>
      <c r="J581" s="22">
        <f>IF(A581=720,"60-year model limit","")</f>
        <v/>
      </c>
    </row>
    <row r="582">
      <c r="A582" s="23" t="n">
        <v>566</v>
      </c>
      <c r="B582" s="24">
        <f>EDATE(TODAY(),A582)</f>
        <v/>
      </c>
      <c r="C582" s="25">
        <f>Inputs!$B$5+A582/12</f>
        <v/>
      </c>
      <c r="D582" s="15">
        <f>D581*(1+$B$8)^(1/12)+$B$10</f>
        <v/>
      </c>
      <c r="E582" s="15">
        <f>E581*(1+$B$9)^(1/12)</f>
        <v/>
      </c>
      <c r="F582" s="15">
        <f>D582+E582</f>
        <v/>
      </c>
      <c r="G582" s="15">
        <f>$B$6</f>
        <v/>
      </c>
      <c r="H582" s="15">
        <f>$B$7</f>
        <v/>
      </c>
      <c r="I582" s="22">
        <f>IF(AND(F582&gt;=G582,D582&gt;=H582),"FI reached","")</f>
        <v/>
      </c>
      <c r="J582" s="22">
        <f>IF(A582=720,"60-year model limit","")</f>
        <v/>
      </c>
    </row>
    <row r="583">
      <c r="A583" s="23" t="n">
        <v>567</v>
      </c>
      <c r="B583" s="24">
        <f>EDATE(TODAY(),A583)</f>
        <v/>
      </c>
      <c r="C583" s="25">
        <f>Inputs!$B$5+A583/12</f>
        <v/>
      </c>
      <c r="D583" s="15">
        <f>D582*(1+$B$8)^(1/12)+$B$10</f>
        <v/>
      </c>
      <c r="E583" s="15">
        <f>E582*(1+$B$9)^(1/12)</f>
        <v/>
      </c>
      <c r="F583" s="15">
        <f>D583+E583</f>
        <v/>
      </c>
      <c r="G583" s="15">
        <f>$B$6</f>
        <v/>
      </c>
      <c r="H583" s="15">
        <f>$B$7</f>
        <v/>
      </c>
      <c r="I583" s="22">
        <f>IF(AND(F583&gt;=G583,D583&gt;=H583),"FI reached","")</f>
        <v/>
      </c>
      <c r="J583" s="22">
        <f>IF(A583=720,"60-year model limit","")</f>
        <v/>
      </c>
    </row>
    <row r="584">
      <c r="A584" s="23" t="n">
        <v>568</v>
      </c>
      <c r="B584" s="24">
        <f>EDATE(TODAY(),A584)</f>
        <v/>
      </c>
      <c r="C584" s="25">
        <f>Inputs!$B$5+A584/12</f>
        <v/>
      </c>
      <c r="D584" s="15">
        <f>D583*(1+$B$8)^(1/12)+$B$10</f>
        <v/>
      </c>
      <c r="E584" s="15">
        <f>E583*(1+$B$9)^(1/12)</f>
        <v/>
      </c>
      <c r="F584" s="15">
        <f>D584+E584</f>
        <v/>
      </c>
      <c r="G584" s="15">
        <f>$B$6</f>
        <v/>
      </c>
      <c r="H584" s="15">
        <f>$B$7</f>
        <v/>
      </c>
      <c r="I584" s="22">
        <f>IF(AND(F584&gt;=G584,D584&gt;=H584),"FI reached","")</f>
        <v/>
      </c>
      <c r="J584" s="22">
        <f>IF(A584=720,"60-year model limit","")</f>
        <v/>
      </c>
    </row>
    <row r="585">
      <c r="A585" s="23" t="n">
        <v>569</v>
      </c>
      <c r="B585" s="24">
        <f>EDATE(TODAY(),A585)</f>
        <v/>
      </c>
      <c r="C585" s="25">
        <f>Inputs!$B$5+A585/12</f>
        <v/>
      </c>
      <c r="D585" s="15">
        <f>D584*(1+$B$8)^(1/12)+$B$10</f>
        <v/>
      </c>
      <c r="E585" s="15">
        <f>E584*(1+$B$9)^(1/12)</f>
        <v/>
      </c>
      <c r="F585" s="15">
        <f>D585+E585</f>
        <v/>
      </c>
      <c r="G585" s="15">
        <f>$B$6</f>
        <v/>
      </c>
      <c r="H585" s="15">
        <f>$B$7</f>
        <v/>
      </c>
      <c r="I585" s="22">
        <f>IF(AND(F585&gt;=G585,D585&gt;=H585),"FI reached","")</f>
        <v/>
      </c>
      <c r="J585" s="22">
        <f>IF(A585=720,"60-year model limit","")</f>
        <v/>
      </c>
    </row>
    <row r="586">
      <c r="A586" s="23" t="n">
        <v>570</v>
      </c>
      <c r="B586" s="24">
        <f>EDATE(TODAY(),A586)</f>
        <v/>
      </c>
      <c r="C586" s="25">
        <f>Inputs!$B$5+A586/12</f>
        <v/>
      </c>
      <c r="D586" s="15">
        <f>D585*(1+$B$8)^(1/12)+$B$10</f>
        <v/>
      </c>
      <c r="E586" s="15">
        <f>E585*(1+$B$9)^(1/12)</f>
        <v/>
      </c>
      <c r="F586" s="15">
        <f>D586+E586</f>
        <v/>
      </c>
      <c r="G586" s="15">
        <f>$B$6</f>
        <v/>
      </c>
      <c r="H586" s="15">
        <f>$B$7</f>
        <v/>
      </c>
      <c r="I586" s="22">
        <f>IF(AND(F586&gt;=G586,D586&gt;=H586),"FI reached","")</f>
        <v/>
      </c>
      <c r="J586" s="22">
        <f>IF(A586=720,"60-year model limit","")</f>
        <v/>
      </c>
    </row>
    <row r="587">
      <c r="A587" s="23" t="n">
        <v>571</v>
      </c>
      <c r="B587" s="24">
        <f>EDATE(TODAY(),A587)</f>
        <v/>
      </c>
      <c r="C587" s="25">
        <f>Inputs!$B$5+A587/12</f>
        <v/>
      </c>
      <c r="D587" s="15">
        <f>D586*(1+$B$8)^(1/12)+$B$10</f>
        <v/>
      </c>
      <c r="E587" s="15">
        <f>E586*(1+$B$9)^(1/12)</f>
        <v/>
      </c>
      <c r="F587" s="15">
        <f>D587+E587</f>
        <v/>
      </c>
      <c r="G587" s="15">
        <f>$B$6</f>
        <v/>
      </c>
      <c r="H587" s="15">
        <f>$B$7</f>
        <v/>
      </c>
      <c r="I587" s="22">
        <f>IF(AND(F587&gt;=G587,D587&gt;=H587),"FI reached","")</f>
        <v/>
      </c>
      <c r="J587" s="22">
        <f>IF(A587=720,"60-year model limit","")</f>
        <v/>
      </c>
    </row>
    <row r="588">
      <c r="A588" s="23" t="n">
        <v>572</v>
      </c>
      <c r="B588" s="24">
        <f>EDATE(TODAY(),A588)</f>
        <v/>
      </c>
      <c r="C588" s="25">
        <f>Inputs!$B$5+A588/12</f>
        <v/>
      </c>
      <c r="D588" s="15">
        <f>D587*(1+$B$8)^(1/12)+$B$10</f>
        <v/>
      </c>
      <c r="E588" s="15">
        <f>E587*(1+$B$9)^(1/12)</f>
        <v/>
      </c>
      <c r="F588" s="15">
        <f>D588+E588</f>
        <v/>
      </c>
      <c r="G588" s="15">
        <f>$B$6</f>
        <v/>
      </c>
      <c r="H588" s="15">
        <f>$B$7</f>
        <v/>
      </c>
      <c r="I588" s="22">
        <f>IF(AND(F588&gt;=G588,D588&gt;=H588),"FI reached","")</f>
        <v/>
      </c>
      <c r="J588" s="22">
        <f>IF(A588=720,"60-year model limit","")</f>
        <v/>
      </c>
    </row>
    <row r="589">
      <c r="A589" s="23" t="n">
        <v>573</v>
      </c>
      <c r="B589" s="24">
        <f>EDATE(TODAY(),A589)</f>
        <v/>
      </c>
      <c r="C589" s="25">
        <f>Inputs!$B$5+A589/12</f>
        <v/>
      </c>
      <c r="D589" s="15">
        <f>D588*(1+$B$8)^(1/12)+$B$10</f>
        <v/>
      </c>
      <c r="E589" s="15">
        <f>E588*(1+$B$9)^(1/12)</f>
        <v/>
      </c>
      <c r="F589" s="15">
        <f>D589+E589</f>
        <v/>
      </c>
      <c r="G589" s="15">
        <f>$B$6</f>
        <v/>
      </c>
      <c r="H589" s="15">
        <f>$B$7</f>
        <v/>
      </c>
      <c r="I589" s="22">
        <f>IF(AND(F589&gt;=G589,D589&gt;=H589),"FI reached","")</f>
        <v/>
      </c>
      <c r="J589" s="22">
        <f>IF(A589=720,"60-year model limit","")</f>
        <v/>
      </c>
    </row>
    <row r="590">
      <c r="A590" s="23" t="n">
        <v>574</v>
      </c>
      <c r="B590" s="24">
        <f>EDATE(TODAY(),A590)</f>
        <v/>
      </c>
      <c r="C590" s="25">
        <f>Inputs!$B$5+A590/12</f>
        <v/>
      </c>
      <c r="D590" s="15">
        <f>D589*(1+$B$8)^(1/12)+$B$10</f>
        <v/>
      </c>
      <c r="E590" s="15">
        <f>E589*(1+$B$9)^(1/12)</f>
        <v/>
      </c>
      <c r="F590" s="15">
        <f>D590+E590</f>
        <v/>
      </c>
      <c r="G590" s="15">
        <f>$B$6</f>
        <v/>
      </c>
      <c r="H590" s="15">
        <f>$B$7</f>
        <v/>
      </c>
      <c r="I590" s="22">
        <f>IF(AND(F590&gt;=G590,D590&gt;=H590),"FI reached","")</f>
        <v/>
      </c>
      <c r="J590" s="22">
        <f>IF(A590=720,"60-year model limit","")</f>
        <v/>
      </c>
    </row>
    <row r="591">
      <c r="A591" s="23" t="n">
        <v>575</v>
      </c>
      <c r="B591" s="24">
        <f>EDATE(TODAY(),A591)</f>
        <v/>
      </c>
      <c r="C591" s="25">
        <f>Inputs!$B$5+A591/12</f>
        <v/>
      </c>
      <c r="D591" s="15">
        <f>D590*(1+$B$8)^(1/12)+$B$10</f>
        <v/>
      </c>
      <c r="E591" s="15">
        <f>E590*(1+$B$9)^(1/12)</f>
        <v/>
      </c>
      <c r="F591" s="15">
        <f>D591+E591</f>
        <v/>
      </c>
      <c r="G591" s="15">
        <f>$B$6</f>
        <v/>
      </c>
      <c r="H591" s="15">
        <f>$B$7</f>
        <v/>
      </c>
      <c r="I591" s="22">
        <f>IF(AND(F591&gt;=G591,D591&gt;=H591),"FI reached","")</f>
        <v/>
      </c>
      <c r="J591" s="22">
        <f>IF(A591=720,"60-year model limit","")</f>
        <v/>
      </c>
    </row>
    <row r="592">
      <c r="A592" s="23" t="n">
        <v>576</v>
      </c>
      <c r="B592" s="24">
        <f>EDATE(TODAY(),A592)</f>
        <v/>
      </c>
      <c r="C592" s="25">
        <f>Inputs!$B$5+A592/12</f>
        <v/>
      </c>
      <c r="D592" s="15">
        <f>D591*(1+$B$8)^(1/12)+$B$10</f>
        <v/>
      </c>
      <c r="E592" s="15">
        <f>E591*(1+$B$9)^(1/12)</f>
        <v/>
      </c>
      <c r="F592" s="15">
        <f>D592+E592</f>
        <v/>
      </c>
      <c r="G592" s="15">
        <f>$B$6</f>
        <v/>
      </c>
      <c r="H592" s="15">
        <f>$B$7</f>
        <v/>
      </c>
      <c r="I592" s="22">
        <f>IF(AND(F592&gt;=G592,D592&gt;=H592),"FI reached","")</f>
        <v/>
      </c>
      <c r="J592" s="22">
        <f>IF(A592=720,"60-year model limit","")</f>
        <v/>
      </c>
    </row>
    <row r="593">
      <c r="A593" s="23" t="n">
        <v>577</v>
      </c>
      <c r="B593" s="24">
        <f>EDATE(TODAY(),A593)</f>
        <v/>
      </c>
      <c r="C593" s="25">
        <f>Inputs!$B$5+A593/12</f>
        <v/>
      </c>
      <c r="D593" s="15">
        <f>D592*(1+$B$8)^(1/12)+$B$10</f>
        <v/>
      </c>
      <c r="E593" s="15">
        <f>E592*(1+$B$9)^(1/12)</f>
        <v/>
      </c>
      <c r="F593" s="15">
        <f>D593+E593</f>
        <v/>
      </c>
      <c r="G593" s="15">
        <f>$B$6</f>
        <v/>
      </c>
      <c r="H593" s="15">
        <f>$B$7</f>
        <v/>
      </c>
      <c r="I593" s="22">
        <f>IF(AND(F593&gt;=G593,D593&gt;=H593),"FI reached","")</f>
        <v/>
      </c>
      <c r="J593" s="22">
        <f>IF(A593=720,"60-year model limit","")</f>
        <v/>
      </c>
    </row>
    <row r="594">
      <c r="A594" s="23" t="n">
        <v>578</v>
      </c>
      <c r="B594" s="24">
        <f>EDATE(TODAY(),A594)</f>
        <v/>
      </c>
      <c r="C594" s="25">
        <f>Inputs!$B$5+A594/12</f>
        <v/>
      </c>
      <c r="D594" s="15">
        <f>D593*(1+$B$8)^(1/12)+$B$10</f>
        <v/>
      </c>
      <c r="E594" s="15">
        <f>E593*(1+$B$9)^(1/12)</f>
        <v/>
      </c>
      <c r="F594" s="15">
        <f>D594+E594</f>
        <v/>
      </c>
      <c r="G594" s="15">
        <f>$B$6</f>
        <v/>
      </c>
      <c r="H594" s="15">
        <f>$B$7</f>
        <v/>
      </c>
      <c r="I594" s="22">
        <f>IF(AND(F594&gt;=G594,D594&gt;=H594),"FI reached","")</f>
        <v/>
      </c>
      <c r="J594" s="22">
        <f>IF(A594=720,"60-year model limit","")</f>
        <v/>
      </c>
    </row>
    <row r="595">
      <c r="A595" s="23" t="n">
        <v>579</v>
      </c>
      <c r="B595" s="24">
        <f>EDATE(TODAY(),A595)</f>
        <v/>
      </c>
      <c r="C595" s="25">
        <f>Inputs!$B$5+A595/12</f>
        <v/>
      </c>
      <c r="D595" s="15">
        <f>D594*(1+$B$8)^(1/12)+$B$10</f>
        <v/>
      </c>
      <c r="E595" s="15">
        <f>E594*(1+$B$9)^(1/12)</f>
        <v/>
      </c>
      <c r="F595" s="15">
        <f>D595+E595</f>
        <v/>
      </c>
      <c r="G595" s="15">
        <f>$B$6</f>
        <v/>
      </c>
      <c r="H595" s="15">
        <f>$B$7</f>
        <v/>
      </c>
      <c r="I595" s="22">
        <f>IF(AND(F595&gt;=G595,D595&gt;=H595),"FI reached","")</f>
        <v/>
      </c>
      <c r="J595" s="22">
        <f>IF(A595=720,"60-year model limit","")</f>
        <v/>
      </c>
    </row>
    <row r="596">
      <c r="A596" s="23" t="n">
        <v>580</v>
      </c>
      <c r="B596" s="24">
        <f>EDATE(TODAY(),A596)</f>
        <v/>
      </c>
      <c r="C596" s="25">
        <f>Inputs!$B$5+A596/12</f>
        <v/>
      </c>
      <c r="D596" s="15">
        <f>D595*(1+$B$8)^(1/12)+$B$10</f>
        <v/>
      </c>
      <c r="E596" s="15">
        <f>E595*(1+$B$9)^(1/12)</f>
        <v/>
      </c>
      <c r="F596" s="15">
        <f>D596+E596</f>
        <v/>
      </c>
      <c r="G596" s="15">
        <f>$B$6</f>
        <v/>
      </c>
      <c r="H596" s="15">
        <f>$B$7</f>
        <v/>
      </c>
      <c r="I596" s="22">
        <f>IF(AND(F596&gt;=G596,D596&gt;=H596),"FI reached","")</f>
        <v/>
      </c>
      <c r="J596" s="22">
        <f>IF(A596=720,"60-year model limit","")</f>
        <v/>
      </c>
    </row>
    <row r="597">
      <c r="A597" s="23" t="n">
        <v>581</v>
      </c>
      <c r="B597" s="24">
        <f>EDATE(TODAY(),A597)</f>
        <v/>
      </c>
      <c r="C597" s="25">
        <f>Inputs!$B$5+A597/12</f>
        <v/>
      </c>
      <c r="D597" s="15">
        <f>D596*(1+$B$8)^(1/12)+$B$10</f>
        <v/>
      </c>
      <c r="E597" s="15">
        <f>E596*(1+$B$9)^(1/12)</f>
        <v/>
      </c>
      <c r="F597" s="15">
        <f>D597+E597</f>
        <v/>
      </c>
      <c r="G597" s="15">
        <f>$B$6</f>
        <v/>
      </c>
      <c r="H597" s="15">
        <f>$B$7</f>
        <v/>
      </c>
      <c r="I597" s="22">
        <f>IF(AND(F597&gt;=G597,D597&gt;=H597),"FI reached","")</f>
        <v/>
      </c>
      <c r="J597" s="22">
        <f>IF(A597=720,"60-year model limit","")</f>
        <v/>
      </c>
    </row>
    <row r="598">
      <c r="A598" s="23" t="n">
        <v>582</v>
      </c>
      <c r="B598" s="24">
        <f>EDATE(TODAY(),A598)</f>
        <v/>
      </c>
      <c r="C598" s="25">
        <f>Inputs!$B$5+A598/12</f>
        <v/>
      </c>
      <c r="D598" s="15">
        <f>D597*(1+$B$8)^(1/12)+$B$10</f>
        <v/>
      </c>
      <c r="E598" s="15">
        <f>E597*(1+$B$9)^(1/12)</f>
        <v/>
      </c>
      <c r="F598" s="15">
        <f>D598+E598</f>
        <v/>
      </c>
      <c r="G598" s="15">
        <f>$B$6</f>
        <v/>
      </c>
      <c r="H598" s="15">
        <f>$B$7</f>
        <v/>
      </c>
      <c r="I598" s="22">
        <f>IF(AND(F598&gt;=G598,D598&gt;=H598),"FI reached","")</f>
        <v/>
      </c>
      <c r="J598" s="22">
        <f>IF(A598=720,"60-year model limit","")</f>
        <v/>
      </c>
    </row>
    <row r="599">
      <c r="A599" s="23" t="n">
        <v>583</v>
      </c>
      <c r="B599" s="24">
        <f>EDATE(TODAY(),A599)</f>
        <v/>
      </c>
      <c r="C599" s="25">
        <f>Inputs!$B$5+A599/12</f>
        <v/>
      </c>
      <c r="D599" s="15">
        <f>D598*(1+$B$8)^(1/12)+$B$10</f>
        <v/>
      </c>
      <c r="E599" s="15">
        <f>E598*(1+$B$9)^(1/12)</f>
        <v/>
      </c>
      <c r="F599" s="15">
        <f>D599+E599</f>
        <v/>
      </c>
      <c r="G599" s="15">
        <f>$B$6</f>
        <v/>
      </c>
      <c r="H599" s="15">
        <f>$B$7</f>
        <v/>
      </c>
      <c r="I599" s="22">
        <f>IF(AND(F599&gt;=G599,D599&gt;=H599),"FI reached","")</f>
        <v/>
      </c>
      <c r="J599" s="22">
        <f>IF(A599=720,"60-year model limit","")</f>
        <v/>
      </c>
    </row>
    <row r="600">
      <c r="A600" s="23" t="n">
        <v>584</v>
      </c>
      <c r="B600" s="24">
        <f>EDATE(TODAY(),A600)</f>
        <v/>
      </c>
      <c r="C600" s="25">
        <f>Inputs!$B$5+A600/12</f>
        <v/>
      </c>
      <c r="D600" s="15">
        <f>D599*(1+$B$8)^(1/12)+$B$10</f>
        <v/>
      </c>
      <c r="E600" s="15">
        <f>E599*(1+$B$9)^(1/12)</f>
        <v/>
      </c>
      <c r="F600" s="15">
        <f>D600+E600</f>
        <v/>
      </c>
      <c r="G600" s="15">
        <f>$B$6</f>
        <v/>
      </c>
      <c r="H600" s="15">
        <f>$B$7</f>
        <v/>
      </c>
      <c r="I600" s="22">
        <f>IF(AND(F600&gt;=G600,D600&gt;=H600),"FI reached","")</f>
        <v/>
      </c>
      <c r="J600" s="22">
        <f>IF(A600=720,"60-year model limit","")</f>
        <v/>
      </c>
    </row>
    <row r="601">
      <c r="A601" s="23" t="n">
        <v>585</v>
      </c>
      <c r="B601" s="24">
        <f>EDATE(TODAY(),A601)</f>
        <v/>
      </c>
      <c r="C601" s="25">
        <f>Inputs!$B$5+A601/12</f>
        <v/>
      </c>
      <c r="D601" s="15">
        <f>D600*(1+$B$8)^(1/12)+$B$10</f>
        <v/>
      </c>
      <c r="E601" s="15">
        <f>E600*(1+$B$9)^(1/12)</f>
        <v/>
      </c>
      <c r="F601" s="15">
        <f>D601+E601</f>
        <v/>
      </c>
      <c r="G601" s="15">
        <f>$B$6</f>
        <v/>
      </c>
      <c r="H601" s="15">
        <f>$B$7</f>
        <v/>
      </c>
      <c r="I601" s="22">
        <f>IF(AND(F601&gt;=G601,D601&gt;=H601),"FI reached","")</f>
        <v/>
      </c>
      <c r="J601" s="22">
        <f>IF(A601=720,"60-year model limit","")</f>
        <v/>
      </c>
    </row>
    <row r="602">
      <c r="A602" s="23" t="n">
        <v>586</v>
      </c>
      <c r="B602" s="24">
        <f>EDATE(TODAY(),A602)</f>
        <v/>
      </c>
      <c r="C602" s="25">
        <f>Inputs!$B$5+A602/12</f>
        <v/>
      </c>
      <c r="D602" s="15">
        <f>D601*(1+$B$8)^(1/12)+$B$10</f>
        <v/>
      </c>
      <c r="E602" s="15">
        <f>E601*(1+$B$9)^(1/12)</f>
        <v/>
      </c>
      <c r="F602" s="15">
        <f>D602+E602</f>
        <v/>
      </c>
      <c r="G602" s="15">
        <f>$B$6</f>
        <v/>
      </c>
      <c r="H602" s="15">
        <f>$B$7</f>
        <v/>
      </c>
      <c r="I602" s="22">
        <f>IF(AND(F602&gt;=G602,D602&gt;=H602),"FI reached","")</f>
        <v/>
      </c>
      <c r="J602" s="22">
        <f>IF(A602=720,"60-year model limit","")</f>
        <v/>
      </c>
    </row>
    <row r="603">
      <c r="A603" s="23" t="n">
        <v>587</v>
      </c>
      <c r="B603" s="24">
        <f>EDATE(TODAY(),A603)</f>
        <v/>
      </c>
      <c r="C603" s="25">
        <f>Inputs!$B$5+A603/12</f>
        <v/>
      </c>
      <c r="D603" s="15">
        <f>D602*(1+$B$8)^(1/12)+$B$10</f>
        <v/>
      </c>
      <c r="E603" s="15">
        <f>E602*(1+$B$9)^(1/12)</f>
        <v/>
      </c>
      <c r="F603" s="15">
        <f>D603+E603</f>
        <v/>
      </c>
      <c r="G603" s="15">
        <f>$B$6</f>
        <v/>
      </c>
      <c r="H603" s="15">
        <f>$B$7</f>
        <v/>
      </c>
      <c r="I603" s="22">
        <f>IF(AND(F603&gt;=G603,D603&gt;=H603),"FI reached","")</f>
        <v/>
      </c>
      <c r="J603" s="22">
        <f>IF(A603=720,"60-year model limit","")</f>
        <v/>
      </c>
    </row>
    <row r="604">
      <c r="A604" s="23" t="n">
        <v>588</v>
      </c>
      <c r="B604" s="24">
        <f>EDATE(TODAY(),A604)</f>
        <v/>
      </c>
      <c r="C604" s="25">
        <f>Inputs!$B$5+A604/12</f>
        <v/>
      </c>
      <c r="D604" s="15">
        <f>D603*(1+$B$8)^(1/12)+$B$10</f>
        <v/>
      </c>
      <c r="E604" s="15">
        <f>E603*(1+$B$9)^(1/12)</f>
        <v/>
      </c>
      <c r="F604" s="15">
        <f>D604+E604</f>
        <v/>
      </c>
      <c r="G604" s="15">
        <f>$B$6</f>
        <v/>
      </c>
      <c r="H604" s="15">
        <f>$B$7</f>
        <v/>
      </c>
      <c r="I604" s="22">
        <f>IF(AND(F604&gt;=G604,D604&gt;=H604),"FI reached","")</f>
        <v/>
      </c>
      <c r="J604" s="22">
        <f>IF(A604=720,"60-year model limit","")</f>
        <v/>
      </c>
    </row>
    <row r="605">
      <c r="A605" s="23" t="n">
        <v>589</v>
      </c>
      <c r="B605" s="24">
        <f>EDATE(TODAY(),A605)</f>
        <v/>
      </c>
      <c r="C605" s="25">
        <f>Inputs!$B$5+A605/12</f>
        <v/>
      </c>
      <c r="D605" s="15">
        <f>D604*(1+$B$8)^(1/12)+$B$10</f>
        <v/>
      </c>
      <c r="E605" s="15">
        <f>E604*(1+$B$9)^(1/12)</f>
        <v/>
      </c>
      <c r="F605" s="15">
        <f>D605+E605</f>
        <v/>
      </c>
      <c r="G605" s="15">
        <f>$B$6</f>
        <v/>
      </c>
      <c r="H605" s="15">
        <f>$B$7</f>
        <v/>
      </c>
      <c r="I605" s="22">
        <f>IF(AND(F605&gt;=G605,D605&gt;=H605),"FI reached","")</f>
        <v/>
      </c>
      <c r="J605" s="22">
        <f>IF(A605=720,"60-year model limit","")</f>
        <v/>
      </c>
    </row>
    <row r="606">
      <c r="A606" s="23" t="n">
        <v>590</v>
      </c>
      <c r="B606" s="24">
        <f>EDATE(TODAY(),A606)</f>
        <v/>
      </c>
      <c r="C606" s="25">
        <f>Inputs!$B$5+A606/12</f>
        <v/>
      </c>
      <c r="D606" s="15">
        <f>D605*(1+$B$8)^(1/12)+$B$10</f>
        <v/>
      </c>
      <c r="E606" s="15">
        <f>E605*(1+$B$9)^(1/12)</f>
        <v/>
      </c>
      <c r="F606" s="15">
        <f>D606+E606</f>
        <v/>
      </c>
      <c r="G606" s="15">
        <f>$B$6</f>
        <v/>
      </c>
      <c r="H606" s="15">
        <f>$B$7</f>
        <v/>
      </c>
      <c r="I606" s="22">
        <f>IF(AND(F606&gt;=G606,D606&gt;=H606),"FI reached","")</f>
        <v/>
      </c>
      <c r="J606" s="22">
        <f>IF(A606=720,"60-year model limit","")</f>
        <v/>
      </c>
    </row>
    <row r="607">
      <c r="A607" s="23" t="n">
        <v>591</v>
      </c>
      <c r="B607" s="24">
        <f>EDATE(TODAY(),A607)</f>
        <v/>
      </c>
      <c r="C607" s="25">
        <f>Inputs!$B$5+A607/12</f>
        <v/>
      </c>
      <c r="D607" s="15">
        <f>D606*(1+$B$8)^(1/12)+$B$10</f>
        <v/>
      </c>
      <c r="E607" s="15">
        <f>E606*(1+$B$9)^(1/12)</f>
        <v/>
      </c>
      <c r="F607" s="15">
        <f>D607+E607</f>
        <v/>
      </c>
      <c r="G607" s="15">
        <f>$B$6</f>
        <v/>
      </c>
      <c r="H607" s="15">
        <f>$B$7</f>
        <v/>
      </c>
      <c r="I607" s="22">
        <f>IF(AND(F607&gt;=G607,D607&gt;=H607),"FI reached","")</f>
        <v/>
      </c>
      <c r="J607" s="22">
        <f>IF(A607=720,"60-year model limit","")</f>
        <v/>
      </c>
    </row>
    <row r="608">
      <c r="A608" s="23" t="n">
        <v>592</v>
      </c>
      <c r="B608" s="24">
        <f>EDATE(TODAY(),A608)</f>
        <v/>
      </c>
      <c r="C608" s="25">
        <f>Inputs!$B$5+A608/12</f>
        <v/>
      </c>
      <c r="D608" s="15">
        <f>D607*(1+$B$8)^(1/12)+$B$10</f>
        <v/>
      </c>
      <c r="E608" s="15">
        <f>E607*(1+$B$9)^(1/12)</f>
        <v/>
      </c>
      <c r="F608" s="15">
        <f>D608+E608</f>
        <v/>
      </c>
      <c r="G608" s="15">
        <f>$B$6</f>
        <v/>
      </c>
      <c r="H608" s="15">
        <f>$B$7</f>
        <v/>
      </c>
      <c r="I608" s="22">
        <f>IF(AND(F608&gt;=G608,D608&gt;=H608),"FI reached","")</f>
        <v/>
      </c>
      <c r="J608" s="22">
        <f>IF(A608=720,"60-year model limit","")</f>
        <v/>
      </c>
    </row>
    <row r="609">
      <c r="A609" s="23" t="n">
        <v>593</v>
      </c>
      <c r="B609" s="24">
        <f>EDATE(TODAY(),A609)</f>
        <v/>
      </c>
      <c r="C609" s="25">
        <f>Inputs!$B$5+A609/12</f>
        <v/>
      </c>
      <c r="D609" s="15">
        <f>D608*(1+$B$8)^(1/12)+$B$10</f>
        <v/>
      </c>
      <c r="E609" s="15">
        <f>E608*(1+$B$9)^(1/12)</f>
        <v/>
      </c>
      <c r="F609" s="15">
        <f>D609+E609</f>
        <v/>
      </c>
      <c r="G609" s="15">
        <f>$B$6</f>
        <v/>
      </c>
      <c r="H609" s="15">
        <f>$B$7</f>
        <v/>
      </c>
      <c r="I609" s="22">
        <f>IF(AND(F609&gt;=G609,D609&gt;=H609),"FI reached","")</f>
        <v/>
      </c>
      <c r="J609" s="22">
        <f>IF(A609=720,"60-year model limit","")</f>
        <v/>
      </c>
    </row>
    <row r="610">
      <c r="A610" s="23" t="n">
        <v>594</v>
      </c>
      <c r="B610" s="24">
        <f>EDATE(TODAY(),A610)</f>
        <v/>
      </c>
      <c r="C610" s="25">
        <f>Inputs!$B$5+A610/12</f>
        <v/>
      </c>
      <c r="D610" s="15">
        <f>D609*(1+$B$8)^(1/12)+$B$10</f>
        <v/>
      </c>
      <c r="E610" s="15">
        <f>E609*(1+$B$9)^(1/12)</f>
        <v/>
      </c>
      <c r="F610" s="15">
        <f>D610+E610</f>
        <v/>
      </c>
      <c r="G610" s="15">
        <f>$B$6</f>
        <v/>
      </c>
      <c r="H610" s="15">
        <f>$B$7</f>
        <v/>
      </c>
      <c r="I610" s="22">
        <f>IF(AND(F610&gt;=G610,D610&gt;=H610),"FI reached","")</f>
        <v/>
      </c>
      <c r="J610" s="22">
        <f>IF(A610=720,"60-year model limit","")</f>
        <v/>
      </c>
    </row>
    <row r="611">
      <c r="A611" s="23" t="n">
        <v>595</v>
      </c>
      <c r="B611" s="24">
        <f>EDATE(TODAY(),A611)</f>
        <v/>
      </c>
      <c r="C611" s="25">
        <f>Inputs!$B$5+A611/12</f>
        <v/>
      </c>
      <c r="D611" s="15">
        <f>D610*(1+$B$8)^(1/12)+$B$10</f>
        <v/>
      </c>
      <c r="E611" s="15">
        <f>E610*(1+$B$9)^(1/12)</f>
        <v/>
      </c>
      <c r="F611" s="15">
        <f>D611+E611</f>
        <v/>
      </c>
      <c r="G611" s="15">
        <f>$B$6</f>
        <v/>
      </c>
      <c r="H611" s="15">
        <f>$B$7</f>
        <v/>
      </c>
      <c r="I611" s="22">
        <f>IF(AND(F611&gt;=G611,D611&gt;=H611),"FI reached","")</f>
        <v/>
      </c>
      <c r="J611" s="22">
        <f>IF(A611=720,"60-year model limit","")</f>
        <v/>
      </c>
    </row>
    <row r="612">
      <c r="A612" s="23" t="n">
        <v>596</v>
      </c>
      <c r="B612" s="24">
        <f>EDATE(TODAY(),A612)</f>
        <v/>
      </c>
      <c r="C612" s="25">
        <f>Inputs!$B$5+A612/12</f>
        <v/>
      </c>
      <c r="D612" s="15">
        <f>D611*(1+$B$8)^(1/12)+$B$10</f>
        <v/>
      </c>
      <c r="E612" s="15">
        <f>E611*(1+$B$9)^(1/12)</f>
        <v/>
      </c>
      <c r="F612" s="15">
        <f>D612+E612</f>
        <v/>
      </c>
      <c r="G612" s="15">
        <f>$B$6</f>
        <v/>
      </c>
      <c r="H612" s="15">
        <f>$B$7</f>
        <v/>
      </c>
      <c r="I612" s="22">
        <f>IF(AND(F612&gt;=G612,D612&gt;=H612),"FI reached","")</f>
        <v/>
      </c>
      <c r="J612" s="22">
        <f>IF(A612=720,"60-year model limit","")</f>
        <v/>
      </c>
    </row>
    <row r="613">
      <c r="A613" s="23" t="n">
        <v>597</v>
      </c>
      <c r="B613" s="24">
        <f>EDATE(TODAY(),A613)</f>
        <v/>
      </c>
      <c r="C613" s="25">
        <f>Inputs!$B$5+A613/12</f>
        <v/>
      </c>
      <c r="D613" s="15">
        <f>D612*(1+$B$8)^(1/12)+$B$10</f>
        <v/>
      </c>
      <c r="E613" s="15">
        <f>E612*(1+$B$9)^(1/12)</f>
        <v/>
      </c>
      <c r="F613" s="15">
        <f>D613+E613</f>
        <v/>
      </c>
      <c r="G613" s="15">
        <f>$B$6</f>
        <v/>
      </c>
      <c r="H613" s="15">
        <f>$B$7</f>
        <v/>
      </c>
      <c r="I613" s="22">
        <f>IF(AND(F613&gt;=G613,D613&gt;=H613),"FI reached","")</f>
        <v/>
      </c>
      <c r="J613" s="22">
        <f>IF(A613=720,"60-year model limit","")</f>
        <v/>
      </c>
    </row>
    <row r="614">
      <c r="A614" s="23" t="n">
        <v>598</v>
      </c>
      <c r="B614" s="24">
        <f>EDATE(TODAY(),A614)</f>
        <v/>
      </c>
      <c r="C614" s="25">
        <f>Inputs!$B$5+A614/12</f>
        <v/>
      </c>
      <c r="D614" s="15">
        <f>D613*(1+$B$8)^(1/12)+$B$10</f>
        <v/>
      </c>
      <c r="E614" s="15">
        <f>E613*(1+$B$9)^(1/12)</f>
        <v/>
      </c>
      <c r="F614" s="15">
        <f>D614+E614</f>
        <v/>
      </c>
      <c r="G614" s="15">
        <f>$B$6</f>
        <v/>
      </c>
      <c r="H614" s="15">
        <f>$B$7</f>
        <v/>
      </c>
      <c r="I614" s="22">
        <f>IF(AND(F614&gt;=G614,D614&gt;=H614),"FI reached","")</f>
        <v/>
      </c>
      <c r="J614" s="22">
        <f>IF(A614=720,"60-year model limit","")</f>
        <v/>
      </c>
    </row>
    <row r="615">
      <c r="A615" s="23" t="n">
        <v>599</v>
      </c>
      <c r="B615" s="24">
        <f>EDATE(TODAY(),A615)</f>
        <v/>
      </c>
      <c r="C615" s="25">
        <f>Inputs!$B$5+A615/12</f>
        <v/>
      </c>
      <c r="D615" s="15">
        <f>D614*(1+$B$8)^(1/12)+$B$10</f>
        <v/>
      </c>
      <c r="E615" s="15">
        <f>E614*(1+$B$9)^(1/12)</f>
        <v/>
      </c>
      <c r="F615" s="15">
        <f>D615+E615</f>
        <v/>
      </c>
      <c r="G615" s="15">
        <f>$B$6</f>
        <v/>
      </c>
      <c r="H615" s="15">
        <f>$B$7</f>
        <v/>
      </c>
      <c r="I615" s="22">
        <f>IF(AND(F615&gt;=G615,D615&gt;=H615),"FI reached","")</f>
        <v/>
      </c>
      <c r="J615" s="22">
        <f>IF(A615=720,"60-year model limit","")</f>
        <v/>
      </c>
    </row>
    <row r="616">
      <c r="A616" s="23" t="n">
        <v>600</v>
      </c>
      <c r="B616" s="24">
        <f>EDATE(TODAY(),A616)</f>
        <v/>
      </c>
      <c r="C616" s="25">
        <f>Inputs!$B$5+A616/12</f>
        <v/>
      </c>
      <c r="D616" s="15">
        <f>D615*(1+$B$8)^(1/12)+$B$10</f>
        <v/>
      </c>
      <c r="E616" s="15">
        <f>E615*(1+$B$9)^(1/12)</f>
        <v/>
      </c>
      <c r="F616" s="15">
        <f>D616+E616</f>
        <v/>
      </c>
      <c r="G616" s="15">
        <f>$B$6</f>
        <v/>
      </c>
      <c r="H616" s="15">
        <f>$B$7</f>
        <v/>
      </c>
      <c r="I616" s="22">
        <f>IF(AND(F616&gt;=G616,D616&gt;=H616),"FI reached","")</f>
        <v/>
      </c>
      <c r="J616" s="22">
        <f>IF(A616=720,"60-year model limit","")</f>
        <v/>
      </c>
    </row>
    <row r="617">
      <c r="A617" s="23" t="n">
        <v>601</v>
      </c>
      <c r="B617" s="24">
        <f>EDATE(TODAY(),A617)</f>
        <v/>
      </c>
      <c r="C617" s="25">
        <f>Inputs!$B$5+A617/12</f>
        <v/>
      </c>
      <c r="D617" s="15">
        <f>D616*(1+$B$8)^(1/12)+$B$10</f>
        <v/>
      </c>
      <c r="E617" s="15">
        <f>E616*(1+$B$9)^(1/12)</f>
        <v/>
      </c>
      <c r="F617" s="15">
        <f>D617+E617</f>
        <v/>
      </c>
      <c r="G617" s="15">
        <f>$B$6</f>
        <v/>
      </c>
      <c r="H617" s="15">
        <f>$B$7</f>
        <v/>
      </c>
      <c r="I617" s="22">
        <f>IF(AND(F617&gt;=G617,D617&gt;=H617),"FI reached","")</f>
        <v/>
      </c>
      <c r="J617" s="22">
        <f>IF(A617=720,"60-year model limit","")</f>
        <v/>
      </c>
    </row>
    <row r="618">
      <c r="A618" s="23" t="n">
        <v>602</v>
      </c>
      <c r="B618" s="24">
        <f>EDATE(TODAY(),A618)</f>
        <v/>
      </c>
      <c r="C618" s="25">
        <f>Inputs!$B$5+A618/12</f>
        <v/>
      </c>
      <c r="D618" s="15">
        <f>D617*(1+$B$8)^(1/12)+$B$10</f>
        <v/>
      </c>
      <c r="E618" s="15">
        <f>E617*(1+$B$9)^(1/12)</f>
        <v/>
      </c>
      <c r="F618" s="15">
        <f>D618+E618</f>
        <v/>
      </c>
      <c r="G618" s="15">
        <f>$B$6</f>
        <v/>
      </c>
      <c r="H618" s="15">
        <f>$B$7</f>
        <v/>
      </c>
      <c r="I618" s="22">
        <f>IF(AND(F618&gt;=G618,D618&gt;=H618),"FI reached","")</f>
        <v/>
      </c>
      <c r="J618" s="22">
        <f>IF(A618=720,"60-year model limit","")</f>
        <v/>
      </c>
    </row>
    <row r="619">
      <c r="A619" s="23" t="n">
        <v>603</v>
      </c>
      <c r="B619" s="24">
        <f>EDATE(TODAY(),A619)</f>
        <v/>
      </c>
      <c r="C619" s="25">
        <f>Inputs!$B$5+A619/12</f>
        <v/>
      </c>
      <c r="D619" s="15">
        <f>D618*(1+$B$8)^(1/12)+$B$10</f>
        <v/>
      </c>
      <c r="E619" s="15">
        <f>E618*(1+$B$9)^(1/12)</f>
        <v/>
      </c>
      <c r="F619" s="15">
        <f>D619+E619</f>
        <v/>
      </c>
      <c r="G619" s="15">
        <f>$B$6</f>
        <v/>
      </c>
      <c r="H619" s="15">
        <f>$B$7</f>
        <v/>
      </c>
      <c r="I619" s="22">
        <f>IF(AND(F619&gt;=G619,D619&gt;=H619),"FI reached","")</f>
        <v/>
      </c>
      <c r="J619" s="22">
        <f>IF(A619=720,"60-year model limit","")</f>
        <v/>
      </c>
    </row>
    <row r="620">
      <c r="A620" s="23" t="n">
        <v>604</v>
      </c>
      <c r="B620" s="24">
        <f>EDATE(TODAY(),A620)</f>
        <v/>
      </c>
      <c r="C620" s="25">
        <f>Inputs!$B$5+A620/12</f>
        <v/>
      </c>
      <c r="D620" s="15">
        <f>D619*(1+$B$8)^(1/12)+$B$10</f>
        <v/>
      </c>
      <c r="E620" s="15">
        <f>E619*(1+$B$9)^(1/12)</f>
        <v/>
      </c>
      <c r="F620" s="15">
        <f>D620+E620</f>
        <v/>
      </c>
      <c r="G620" s="15">
        <f>$B$6</f>
        <v/>
      </c>
      <c r="H620" s="15">
        <f>$B$7</f>
        <v/>
      </c>
      <c r="I620" s="22">
        <f>IF(AND(F620&gt;=G620,D620&gt;=H620),"FI reached","")</f>
        <v/>
      </c>
      <c r="J620" s="22">
        <f>IF(A620=720,"60-year model limit","")</f>
        <v/>
      </c>
    </row>
    <row r="621">
      <c r="A621" s="23" t="n">
        <v>605</v>
      </c>
      <c r="B621" s="24">
        <f>EDATE(TODAY(),A621)</f>
        <v/>
      </c>
      <c r="C621" s="25">
        <f>Inputs!$B$5+A621/12</f>
        <v/>
      </c>
      <c r="D621" s="15">
        <f>D620*(1+$B$8)^(1/12)+$B$10</f>
        <v/>
      </c>
      <c r="E621" s="15">
        <f>E620*(1+$B$9)^(1/12)</f>
        <v/>
      </c>
      <c r="F621" s="15">
        <f>D621+E621</f>
        <v/>
      </c>
      <c r="G621" s="15">
        <f>$B$6</f>
        <v/>
      </c>
      <c r="H621" s="15">
        <f>$B$7</f>
        <v/>
      </c>
      <c r="I621" s="22">
        <f>IF(AND(F621&gt;=G621,D621&gt;=H621),"FI reached","")</f>
        <v/>
      </c>
      <c r="J621" s="22">
        <f>IF(A621=720,"60-year model limit","")</f>
        <v/>
      </c>
    </row>
    <row r="622">
      <c r="A622" s="23" t="n">
        <v>606</v>
      </c>
      <c r="B622" s="24">
        <f>EDATE(TODAY(),A622)</f>
        <v/>
      </c>
      <c r="C622" s="25">
        <f>Inputs!$B$5+A622/12</f>
        <v/>
      </c>
      <c r="D622" s="15">
        <f>D621*(1+$B$8)^(1/12)+$B$10</f>
        <v/>
      </c>
      <c r="E622" s="15">
        <f>E621*(1+$B$9)^(1/12)</f>
        <v/>
      </c>
      <c r="F622" s="15">
        <f>D622+E622</f>
        <v/>
      </c>
      <c r="G622" s="15">
        <f>$B$6</f>
        <v/>
      </c>
      <c r="H622" s="15">
        <f>$B$7</f>
        <v/>
      </c>
      <c r="I622" s="22">
        <f>IF(AND(F622&gt;=G622,D622&gt;=H622),"FI reached","")</f>
        <v/>
      </c>
      <c r="J622" s="22">
        <f>IF(A622=720,"60-year model limit","")</f>
        <v/>
      </c>
    </row>
    <row r="623">
      <c r="A623" s="23" t="n">
        <v>607</v>
      </c>
      <c r="B623" s="24">
        <f>EDATE(TODAY(),A623)</f>
        <v/>
      </c>
      <c r="C623" s="25">
        <f>Inputs!$B$5+A623/12</f>
        <v/>
      </c>
      <c r="D623" s="15">
        <f>D622*(1+$B$8)^(1/12)+$B$10</f>
        <v/>
      </c>
      <c r="E623" s="15">
        <f>E622*(1+$B$9)^(1/12)</f>
        <v/>
      </c>
      <c r="F623" s="15">
        <f>D623+E623</f>
        <v/>
      </c>
      <c r="G623" s="15">
        <f>$B$6</f>
        <v/>
      </c>
      <c r="H623" s="15">
        <f>$B$7</f>
        <v/>
      </c>
      <c r="I623" s="22">
        <f>IF(AND(F623&gt;=G623,D623&gt;=H623),"FI reached","")</f>
        <v/>
      </c>
      <c r="J623" s="22">
        <f>IF(A623=720,"60-year model limit","")</f>
        <v/>
      </c>
    </row>
    <row r="624">
      <c r="A624" s="23" t="n">
        <v>608</v>
      </c>
      <c r="B624" s="24">
        <f>EDATE(TODAY(),A624)</f>
        <v/>
      </c>
      <c r="C624" s="25">
        <f>Inputs!$B$5+A624/12</f>
        <v/>
      </c>
      <c r="D624" s="15">
        <f>D623*(1+$B$8)^(1/12)+$B$10</f>
        <v/>
      </c>
      <c r="E624" s="15">
        <f>E623*(1+$B$9)^(1/12)</f>
        <v/>
      </c>
      <c r="F624" s="15">
        <f>D624+E624</f>
        <v/>
      </c>
      <c r="G624" s="15">
        <f>$B$6</f>
        <v/>
      </c>
      <c r="H624" s="15">
        <f>$B$7</f>
        <v/>
      </c>
      <c r="I624" s="22">
        <f>IF(AND(F624&gt;=G624,D624&gt;=H624),"FI reached","")</f>
        <v/>
      </c>
      <c r="J624" s="22">
        <f>IF(A624=720,"60-year model limit","")</f>
        <v/>
      </c>
    </row>
    <row r="625">
      <c r="A625" s="23" t="n">
        <v>609</v>
      </c>
      <c r="B625" s="24">
        <f>EDATE(TODAY(),A625)</f>
        <v/>
      </c>
      <c r="C625" s="25">
        <f>Inputs!$B$5+A625/12</f>
        <v/>
      </c>
      <c r="D625" s="15">
        <f>D624*(1+$B$8)^(1/12)+$B$10</f>
        <v/>
      </c>
      <c r="E625" s="15">
        <f>E624*(1+$B$9)^(1/12)</f>
        <v/>
      </c>
      <c r="F625" s="15">
        <f>D625+E625</f>
        <v/>
      </c>
      <c r="G625" s="15">
        <f>$B$6</f>
        <v/>
      </c>
      <c r="H625" s="15">
        <f>$B$7</f>
        <v/>
      </c>
      <c r="I625" s="22">
        <f>IF(AND(F625&gt;=G625,D625&gt;=H625),"FI reached","")</f>
        <v/>
      </c>
      <c r="J625" s="22">
        <f>IF(A625=720,"60-year model limit","")</f>
        <v/>
      </c>
    </row>
    <row r="626">
      <c r="A626" s="23" t="n">
        <v>610</v>
      </c>
      <c r="B626" s="24">
        <f>EDATE(TODAY(),A626)</f>
        <v/>
      </c>
      <c r="C626" s="25">
        <f>Inputs!$B$5+A626/12</f>
        <v/>
      </c>
      <c r="D626" s="15">
        <f>D625*(1+$B$8)^(1/12)+$B$10</f>
        <v/>
      </c>
      <c r="E626" s="15">
        <f>E625*(1+$B$9)^(1/12)</f>
        <v/>
      </c>
      <c r="F626" s="15">
        <f>D626+E626</f>
        <v/>
      </c>
      <c r="G626" s="15">
        <f>$B$6</f>
        <v/>
      </c>
      <c r="H626" s="15">
        <f>$B$7</f>
        <v/>
      </c>
      <c r="I626" s="22">
        <f>IF(AND(F626&gt;=G626,D626&gt;=H626),"FI reached","")</f>
        <v/>
      </c>
      <c r="J626" s="22">
        <f>IF(A626=720,"60-year model limit","")</f>
        <v/>
      </c>
    </row>
    <row r="627">
      <c r="A627" s="23" t="n">
        <v>611</v>
      </c>
      <c r="B627" s="24">
        <f>EDATE(TODAY(),A627)</f>
        <v/>
      </c>
      <c r="C627" s="25">
        <f>Inputs!$B$5+A627/12</f>
        <v/>
      </c>
      <c r="D627" s="15">
        <f>D626*(1+$B$8)^(1/12)+$B$10</f>
        <v/>
      </c>
      <c r="E627" s="15">
        <f>E626*(1+$B$9)^(1/12)</f>
        <v/>
      </c>
      <c r="F627" s="15">
        <f>D627+E627</f>
        <v/>
      </c>
      <c r="G627" s="15">
        <f>$B$6</f>
        <v/>
      </c>
      <c r="H627" s="15">
        <f>$B$7</f>
        <v/>
      </c>
      <c r="I627" s="22">
        <f>IF(AND(F627&gt;=G627,D627&gt;=H627),"FI reached","")</f>
        <v/>
      </c>
      <c r="J627" s="22">
        <f>IF(A627=720,"60-year model limit","")</f>
        <v/>
      </c>
    </row>
    <row r="628">
      <c r="A628" s="23" t="n">
        <v>612</v>
      </c>
      <c r="B628" s="24">
        <f>EDATE(TODAY(),A628)</f>
        <v/>
      </c>
      <c r="C628" s="25">
        <f>Inputs!$B$5+A628/12</f>
        <v/>
      </c>
      <c r="D628" s="15">
        <f>D627*(1+$B$8)^(1/12)+$B$10</f>
        <v/>
      </c>
      <c r="E628" s="15">
        <f>E627*(1+$B$9)^(1/12)</f>
        <v/>
      </c>
      <c r="F628" s="15">
        <f>D628+E628</f>
        <v/>
      </c>
      <c r="G628" s="15">
        <f>$B$6</f>
        <v/>
      </c>
      <c r="H628" s="15">
        <f>$B$7</f>
        <v/>
      </c>
      <c r="I628" s="22">
        <f>IF(AND(F628&gt;=G628,D628&gt;=H628),"FI reached","")</f>
        <v/>
      </c>
      <c r="J628" s="22">
        <f>IF(A628=720,"60-year model limit","")</f>
        <v/>
      </c>
    </row>
    <row r="629">
      <c r="A629" s="23" t="n">
        <v>613</v>
      </c>
      <c r="B629" s="24">
        <f>EDATE(TODAY(),A629)</f>
        <v/>
      </c>
      <c r="C629" s="25">
        <f>Inputs!$B$5+A629/12</f>
        <v/>
      </c>
      <c r="D629" s="15">
        <f>D628*(1+$B$8)^(1/12)+$B$10</f>
        <v/>
      </c>
      <c r="E629" s="15">
        <f>E628*(1+$B$9)^(1/12)</f>
        <v/>
      </c>
      <c r="F629" s="15">
        <f>D629+E629</f>
        <v/>
      </c>
      <c r="G629" s="15">
        <f>$B$6</f>
        <v/>
      </c>
      <c r="H629" s="15">
        <f>$B$7</f>
        <v/>
      </c>
      <c r="I629" s="22">
        <f>IF(AND(F629&gt;=G629,D629&gt;=H629),"FI reached","")</f>
        <v/>
      </c>
      <c r="J629" s="22">
        <f>IF(A629=720,"60-year model limit","")</f>
        <v/>
      </c>
    </row>
    <row r="630">
      <c r="A630" s="23" t="n">
        <v>614</v>
      </c>
      <c r="B630" s="24">
        <f>EDATE(TODAY(),A630)</f>
        <v/>
      </c>
      <c r="C630" s="25">
        <f>Inputs!$B$5+A630/12</f>
        <v/>
      </c>
      <c r="D630" s="15">
        <f>D629*(1+$B$8)^(1/12)+$B$10</f>
        <v/>
      </c>
      <c r="E630" s="15">
        <f>E629*(1+$B$9)^(1/12)</f>
        <v/>
      </c>
      <c r="F630" s="15">
        <f>D630+E630</f>
        <v/>
      </c>
      <c r="G630" s="15">
        <f>$B$6</f>
        <v/>
      </c>
      <c r="H630" s="15">
        <f>$B$7</f>
        <v/>
      </c>
      <c r="I630" s="22">
        <f>IF(AND(F630&gt;=G630,D630&gt;=H630),"FI reached","")</f>
        <v/>
      </c>
      <c r="J630" s="22">
        <f>IF(A630=720,"60-year model limit","")</f>
        <v/>
      </c>
    </row>
    <row r="631">
      <c r="A631" s="23" t="n">
        <v>615</v>
      </c>
      <c r="B631" s="24">
        <f>EDATE(TODAY(),A631)</f>
        <v/>
      </c>
      <c r="C631" s="25">
        <f>Inputs!$B$5+A631/12</f>
        <v/>
      </c>
      <c r="D631" s="15">
        <f>D630*(1+$B$8)^(1/12)+$B$10</f>
        <v/>
      </c>
      <c r="E631" s="15">
        <f>E630*(1+$B$9)^(1/12)</f>
        <v/>
      </c>
      <c r="F631" s="15">
        <f>D631+E631</f>
        <v/>
      </c>
      <c r="G631" s="15">
        <f>$B$6</f>
        <v/>
      </c>
      <c r="H631" s="15">
        <f>$B$7</f>
        <v/>
      </c>
      <c r="I631" s="22">
        <f>IF(AND(F631&gt;=G631,D631&gt;=H631),"FI reached","")</f>
        <v/>
      </c>
      <c r="J631" s="22">
        <f>IF(A631=720,"60-year model limit","")</f>
        <v/>
      </c>
    </row>
    <row r="632">
      <c r="A632" s="23" t="n">
        <v>616</v>
      </c>
      <c r="B632" s="24">
        <f>EDATE(TODAY(),A632)</f>
        <v/>
      </c>
      <c r="C632" s="25">
        <f>Inputs!$B$5+A632/12</f>
        <v/>
      </c>
      <c r="D632" s="15">
        <f>D631*(1+$B$8)^(1/12)+$B$10</f>
        <v/>
      </c>
      <c r="E632" s="15">
        <f>E631*(1+$B$9)^(1/12)</f>
        <v/>
      </c>
      <c r="F632" s="15">
        <f>D632+E632</f>
        <v/>
      </c>
      <c r="G632" s="15">
        <f>$B$6</f>
        <v/>
      </c>
      <c r="H632" s="15">
        <f>$B$7</f>
        <v/>
      </c>
      <c r="I632" s="22">
        <f>IF(AND(F632&gt;=G632,D632&gt;=H632),"FI reached","")</f>
        <v/>
      </c>
      <c r="J632" s="22">
        <f>IF(A632=720,"60-year model limit","")</f>
        <v/>
      </c>
    </row>
    <row r="633">
      <c r="A633" s="23" t="n">
        <v>617</v>
      </c>
      <c r="B633" s="24">
        <f>EDATE(TODAY(),A633)</f>
        <v/>
      </c>
      <c r="C633" s="25">
        <f>Inputs!$B$5+A633/12</f>
        <v/>
      </c>
      <c r="D633" s="15">
        <f>D632*(1+$B$8)^(1/12)+$B$10</f>
        <v/>
      </c>
      <c r="E633" s="15">
        <f>E632*(1+$B$9)^(1/12)</f>
        <v/>
      </c>
      <c r="F633" s="15">
        <f>D633+E633</f>
        <v/>
      </c>
      <c r="G633" s="15">
        <f>$B$6</f>
        <v/>
      </c>
      <c r="H633" s="15">
        <f>$B$7</f>
        <v/>
      </c>
      <c r="I633" s="22">
        <f>IF(AND(F633&gt;=G633,D633&gt;=H633),"FI reached","")</f>
        <v/>
      </c>
      <c r="J633" s="22">
        <f>IF(A633=720,"60-year model limit","")</f>
        <v/>
      </c>
    </row>
    <row r="634">
      <c r="A634" s="23" t="n">
        <v>618</v>
      </c>
      <c r="B634" s="24">
        <f>EDATE(TODAY(),A634)</f>
        <v/>
      </c>
      <c r="C634" s="25">
        <f>Inputs!$B$5+A634/12</f>
        <v/>
      </c>
      <c r="D634" s="15">
        <f>D633*(1+$B$8)^(1/12)+$B$10</f>
        <v/>
      </c>
      <c r="E634" s="15">
        <f>E633*(1+$B$9)^(1/12)</f>
        <v/>
      </c>
      <c r="F634" s="15">
        <f>D634+E634</f>
        <v/>
      </c>
      <c r="G634" s="15">
        <f>$B$6</f>
        <v/>
      </c>
      <c r="H634" s="15">
        <f>$B$7</f>
        <v/>
      </c>
      <c r="I634" s="22">
        <f>IF(AND(F634&gt;=G634,D634&gt;=H634),"FI reached","")</f>
        <v/>
      </c>
      <c r="J634" s="22">
        <f>IF(A634=720,"60-year model limit","")</f>
        <v/>
      </c>
    </row>
    <row r="635">
      <c r="A635" s="23" t="n">
        <v>619</v>
      </c>
      <c r="B635" s="24">
        <f>EDATE(TODAY(),A635)</f>
        <v/>
      </c>
      <c r="C635" s="25">
        <f>Inputs!$B$5+A635/12</f>
        <v/>
      </c>
      <c r="D635" s="15">
        <f>D634*(1+$B$8)^(1/12)+$B$10</f>
        <v/>
      </c>
      <c r="E635" s="15">
        <f>E634*(1+$B$9)^(1/12)</f>
        <v/>
      </c>
      <c r="F635" s="15">
        <f>D635+E635</f>
        <v/>
      </c>
      <c r="G635" s="15">
        <f>$B$6</f>
        <v/>
      </c>
      <c r="H635" s="15">
        <f>$B$7</f>
        <v/>
      </c>
      <c r="I635" s="22">
        <f>IF(AND(F635&gt;=G635,D635&gt;=H635),"FI reached","")</f>
        <v/>
      </c>
      <c r="J635" s="22">
        <f>IF(A635=720,"60-year model limit","")</f>
        <v/>
      </c>
    </row>
    <row r="636">
      <c r="A636" s="23" t="n">
        <v>620</v>
      </c>
      <c r="B636" s="24">
        <f>EDATE(TODAY(),A636)</f>
        <v/>
      </c>
      <c r="C636" s="25">
        <f>Inputs!$B$5+A636/12</f>
        <v/>
      </c>
      <c r="D636" s="15">
        <f>D635*(1+$B$8)^(1/12)+$B$10</f>
        <v/>
      </c>
      <c r="E636" s="15">
        <f>E635*(1+$B$9)^(1/12)</f>
        <v/>
      </c>
      <c r="F636" s="15">
        <f>D636+E636</f>
        <v/>
      </c>
      <c r="G636" s="15">
        <f>$B$6</f>
        <v/>
      </c>
      <c r="H636" s="15">
        <f>$B$7</f>
        <v/>
      </c>
      <c r="I636" s="22">
        <f>IF(AND(F636&gt;=G636,D636&gt;=H636),"FI reached","")</f>
        <v/>
      </c>
      <c r="J636" s="22">
        <f>IF(A636=720,"60-year model limit","")</f>
        <v/>
      </c>
    </row>
    <row r="637">
      <c r="A637" s="23" t="n">
        <v>621</v>
      </c>
      <c r="B637" s="24">
        <f>EDATE(TODAY(),A637)</f>
        <v/>
      </c>
      <c r="C637" s="25">
        <f>Inputs!$B$5+A637/12</f>
        <v/>
      </c>
      <c r="D637" s="15">
        <f>D636*(1+$B$8)^(1/12)+$B$10</f>
        <v/>
      </c>
      <c r="E637" s="15">
        <f>E636*(1+$B$9)^(1/12)</f>
        <v/>
      </c>
      <c r="F637" s="15">
        <f>D637+E637</f>
        <v/>
      </c>
      <c r="G637" s="15">
        <f>$B$6</f>
        <v/>
      </c>
      <c r="H637" s="15">
        <f>$B$7</f>
        <v/>
      </c>
      <c r="I637" s="22">
        <f>IF(AND(F637&gt;=G637,D637&gt;=H637),"FI reached","")</f>
        <v/>
      </c>
      <c r="J637" s="22">
        <f>IF(A637=720,"60-year model limit","")</f>
        <v/>
      </c>
    </row>
    <row r="638">
      <c r="A638" s="23" t="n">
        <v>622</v>
      </c>
      <c r="B638" s="24">
        <f>EDATE(TODAY(),A638)</f>
        <v/>
      </c>
      <c r="C638" s="25">
        <f>Inputs!$B$5+A638/12</f>
        <v/>
      </c>
      <c r="D638" s="15">
        <f>D637*(1+$B$8)^(1/12)+$B$10</f>
        <v/>
      </c>
      <c r="E638" s="15">
        <f>E637*(1+$B$9)^(1/12)</f>
        <v/>
      </c>
      <c r="F638" s="15">
        <f>D638+E638</f>
        <v/>
      </c>
      <c r="G638" s="15">
        <f>$B$6</f>
        <v/>
      </c>
      <c r="H638" s="15">
        <f>$B$7</f>
        <v/>
      </c>
      <c r="I638" s="22">
        <f>IF(AND(F638&gt;=G638,D638&gt;=H638),"FI reached","")</f>
        <v/>
      </c>
      <c r="J638" s="22">
        <f>IF(A638=720,"60-year model limit","")</f>
        <v/>
      </c>
    </row>
    <row r="639">
      <c r="A639" s="23" t="n">
        <v>623</v>
      </c>
      <c r="B639" s="24">
        <f>EDATE(TODAY(),A639)</f>
        <v/>
      </c>
      <c r="C639" s="25">
        <f>Inputs!$B$5+A639/12</f>
        <v/>
      </c>
      <c r="D639" s="15">
        <f>D638*(1+$B$8)^(1/12)+$B$10</f>
        <v/>
      </c>
      <c r="E639" s="15">
        <f>E638*(1+$B$9)^(1/12)</f>
        <v/>
      </c>
      <c r="F639" s="15">
        <f>D639+E639</f>
        <v/>
      </c>
      <c r="G639" s="15">
        <f>$B$6</f>
        <v/>
      </c>
      <c r="H639" s="15">
        <f>$B$7</f>
        <v/>
      </c>
      <c r="I639" s="22">
        <f>IF(AND(F639&gt;=G639,D639&gt;=H639),"FI reached","")</f>
        <v/>
      </c>
      <c r="J639" s="22">
        <f>IF(A639=720,"60-year model limit","")</f>
        <v/>
      </c>
    </row>
    <row r="640">
      <c r="A640" s="23" t="n">
        <v>624</v>
      </c>
      <c r="B640" s="24">
        <f>EDATE(TODAY(),A640)</f>
        <v/>
      </c>
      <c r="C640" s="25">
        <f>Inputs!$B$5+A640/12</f>
        <v/>
      </c>
      <c r="D640" s="15">
        <f>D639*(1+$B$8)^(1/12)+$B$10</f>
        <v/>
      </c>
      <c r="E640" s="15">
        <f>E639*(1+$B$9)^(1/12)</f>
        <v/>
      </c>
      <c r="F640" s="15">
        <f>D640+E640</f>
        <v/>
      </c>
      <c r="G640" s="15">
        <f>$B$6</f>
        <v/>
      </c>
      <c r="H640" s="15">
        <f>$B$7</f>
        <v/>
      </c>
      <c r="I640" s="22">
        <f>IF(AND(F640&gt;=G640,D640&gt;=H640),"FI reached","")</f>
        <v/>
      </c>
      <c r="J640" s="22">
        <f>IF(A640=720,"60-year model limit","")</f>
        <v/>
      </c>
    </row>
    <row r="641">
      <c r="A641" s="23" t="n">
        <v>625</v>
      </c>
      <c r="B641" s="24">
        <f>EDATE(TODAY(),A641)</f>
        <v/>
      </c>
      <c r="C641" s="25">
        <f>Inputs!$B$5+A641/12</f>
        <v/>
      </c>
      <c r="D641" s="15">
        <f>D640*(1+$B$8)^(1/12)+$B$10</f>
        <v/>
      </c>
      <c r="E641" s="15">
        <f>E640*(1+$B$9)^(1/12)</f>
        <v/>
      </c>
      <c r="F641" s="15">
        <f>D641+E641</f>
        <v/>
      </c>
      <c r="G641" s="15">
        <f>$B$6</f>
        <v/>
      </c>
      <c r="H641" s="15">
        <f>$B$7</f>
        <v/>
      </c>
      <c r="I641" s="22">
        <f>IF(AND(F641&gt;=G641,D641&gt;=H641),"FI reached","")</f>
        <v/>
      </c>
      <c r="J641" s="22">
        <f>IF(A641=720,"60-year model limit","")</f>
        <v/>
      </c>
    </row>
    <row r="642">
      <c r="A642" s="23" t="n">
        <v>626</v>
      </c>
      <c r="B642" s="24">
        <f>EDATE(TODAY(),A642)</f>
        <v/>
      </c>
      <c r="C642" s="25">
        <f>Inputs!$B$5+A642/12</f>
        <v/>
      </c>
      <c r="D642" s="15">
        <f>D641*(1+$B$8)^(1/12)+$B$10</f>
        <v/>
      </c>
      <c r="E642" s="15">
        <f>E641*(1+$B$9)^(1/12)</f>
        <v/>
      </c>
      <c r="F642" s="15">
        <f>D642+E642</f>
        <v/>
      </c>
      <c r="G642" s="15">
        <f>$B$6</f>
        <v/>
      </c>
      <c r="H642" s="15">
        <f>$B$7</f>
        <v/>
      </c>
      <c r="I642" s="22">
        <f>IF(AND(F642&gt;=G642,D642&gt;=H642),"FI reached","")</f>
        <v/>
      </c>
      <c r="J642" s="22">
        <f>IF(A642=720,"60-year model limit","")</f>
        <v/>
      </c>
    </row>
    <row r="643">
      <c r="A643" s="23" t="n">
        <v>627</v>
      </c>
      <c r="B643" s="24">
        <f>EDATE(TODAY(),A643)</f>
        <v/>
      </c>
      <c r="C643" s="25">
        <f>Inputs!$B$5+A643/12</f>
        <v/>
      </c>
      <c r="D643" s="15">
        <f>D642*(1+$B$8)^(1/12)+$B$10</f>
        <v/>
      </c>
      <c r="E643" s="15">
        <f>E642*(1+$B$9)^(1/12)</f>
        <v/>
      </c>
      <c r="F643" s="15">
        <f>D643+E643</f>
        <v/>
      </c>
      <c r="G643" s="15">
        <f>$B$6</f>
        <v/>
      </c>
      <c r="H643" s="15">
        <f>$B$7</f>
        <v/>
      </c>
      <c r="I643" s="22">
        <f>IF(AND(F643&gt;=G643,D643&gt;=H643),"FI reached","")</f>
        <v/>
      </c>
      <c r="J643" s="22">
        <f>IF(A643=720,"60-year model limit","")</f>
        <v/>
      </c>
    </row>
    <row r="644">
      <c r="A644" s="23" t="n">
        <v>628</v>
      </c>
      <c r="B644" s="24">
        <f>EDATE(TODAY(),A644)</f>
        <v/>
      </c>
      <c r="C644" s="25">
        <f>Inputs!$B$5+A644/12</f>
        <v/>
      </c>
      <c r="D644" s="15">
        <f>D643*(1+$B$8)^(1/12)+$B$10</f>
        <v/>
      </c>
      <c r="E644" s="15">
        <f>E643*(1+$B$9)^(1/12)</f>
        <v/>
      </c>
      <c r="F644" s="15">
        <f>D644+E644</f>
        <v/>
      </c>
      <c r="G644" s="15">
        <f>$B$6</f>
        <v/>
      </c>
      <c r="H644" s="15">
        <f>$B$7</f>
        <v/>
      </c>
      <c r="I644" s="22">
        <f>IF(AND(F644&gt;=G644,D644&gt;=H644),"FI reached","")</f>
        <v/>
      </c>
      <c r="J644" s="22">
        <f>IF(A644=720,"60-year model limit","")</f>
        <v/>
      </c>
    </row>
    <row r="645">
      <c r="A645" s="23" t="n">
        <v>629</v>
      </c>
      <c r="B645" s="24">
        <f>EDATE(TODAY(),A645)</f>
        <v/>
      </c>
      <c r="C645" s="25">
        <f>Inputs!$B$5+A645/12</f>
        <v/>
      </c>
      <c r="D645" s="15">
        <f>D644*(1+$B$8)^(1/12)+$B$10</f>
        <v/>
      </c>
      <c r="E645" s="15">
        <f>E644*(1+$B$9)^(1/12)</f>
        <v/>
      </c>
      <c r="F645" s="15">
        <f>D645+E645</f>
        <v/>
      </c>
      <c r="G645" s="15">
        <f>$B$6</f>
        <v/>
      </c>
      <c r="H645" s="15">
        <f>$B$7</f>
        <v/>
      </c>
      <c r="I645" s="22">
        <f>IF(AND(F645&gt;=G645,D645&gt;=H645),"FI reached","")</f>
        <v/>
      </c>
      <c r="J645" s="22">
        <f>IF(A645=720,"60-year model limit","")</f>
        <v/>
      </c>
    </row>
    <row r="646">
      <c r="A646" s="23" t="n">
        <v>630</v>
      </c>
      <c r="B646" s="24">
        <f>EDATE(TODAY(),A646)</f>
        <v/>
      </c>
      <c r="C646" s="25">
        <f>Inputs!$B$5+A646/12</f>
        <v/>
      </c>
      <c r="D646" s="15">
        <f>D645*(1+$B$8)^(1/12)+$B$10</f>
        <v/>
      </c>
      <c r="E646" s="15">
        <f>E645*(1+$B$9)^(1/12)</f>
        <v/>
      </c>
      <c r="F646" s="15">
        <f>D646+E646</f>
        <v/>
      </c>
      <c r="G646" s="15">
        <f>$B$6</f>
        <v/>
      </c>
      <c r="H646" s="15">
        <f>$B$7</f>
        <v/>
      </c>
      <c r="I646" s="22">
        <f>IF(AND(F646&gt;=G646,D646&gt;=H646),"FI reached","")</f>
        <v/>
      </c>
      <c r="J646" s="22">
        <f>IF(A646=720,"60-year model limit","")</f>
        <v/>
      </c>
    </row>
    <row r="647">
      <c r="A647" s="23" t="n">
        <v>631</v>
      </c>
      <c r="B647" s="24">
        <f>EDATE(TODAY(),A647)</f>
        <v/>
      </c>
      <c r="C647" s="25">
        <f>Inputs!$B$5+A647/12</f>
        <v/>
      </c>
      <c r="D647" s="15">
        <f>D646*(1+$B$8)^(1/12)+$B$10</f>
        <v/>
      </c>
      <c r="E647" s="15">
        <f>E646*(1+$B$9)^(1/12)</f>
        <v/>
      </c>
      <c r="F647" s="15">
        <f>D647+E647</f>
        <v/>
      </c>
      <c r="G647" s="15">
        <f>$B$6</f>
        <v/>
      </c>
      <c r="H647" s="15">
        <f>$B$7</f>
        <v/>
      </c>
      <c r="I647" s="22">
        <f>IF(AND(F647&gt;=G647,D647&gt;=H647),"FI reached","")</f>
        <v/>
      </c>
      <c r="J647" s="22">
        <f>IF(A647=720,"60-year model limit","")</f>
        <v/>
      </c>
    </row>
    <row r="648">
      <c r="A648" s="23" t="n">
        <v>632</v>
      </c>
      <c r="B648" s="24">
        <f>EDATE(TODAY(),A648)</f>
        <v/>
      </c>
      <c r="C648" s="25">
        <f>Inputs!$B$5+A648/12</f>
        <v/>
      </c>
      <c r="D648" s="15">
        <f>D647*(1+$B$8)^(1/12)+$B$10</f>
        <v/>
      </c>
      <c r="E648" s="15">
        <f>E647*(1+$B$9)^(1/12)</f>
        <v/>
      </c>
      <c r="F648" s="15">
        <f>D648+E648</f>
        <v/>
      </c>
      <c r="G648" s="15">
        <f>$B$6</f>
        <v/>
      </c>
      <c r="H648" s="15">
        <f>$B$7</f>
        <v/>
      </c>
      <c r="I648" s="22">
        <f>IF(AND(F648&gt;=G648,D648&gt;=H648),"FI reached","")</f>
        <v/>
      </c>
      <c r="J648" s="22">
        <f>IF(A648=720,"60-year model limit","")</f>
        <v/>
      </c>
    </row>
    <row r="649">
      <c r="A649" s="23" t="n">
        <v>633</v>
      </c>
      <c r="B649" s="24">
        <f>EDATE(TODAY(),A649)</f>
        <v/>
      </c>
      <c r="C649" s="25">
        <f>Inputs!$B$5+A649/12</f>
        <v/>
      </c>
      <c r="D649" s="15">
        <f>D648*(1+$B$8)^(1/12)+$B$10</f>
        <v/>
      </c>
      <c r="E649" s="15">
        <f>E648*(1+$B$9)^(1/12)</f>
        <v/>
      </c>
      <c r="F649" s="15">
        <f>D649+E649</f>
        <v/>
      </c>
      <c r="G649" s="15">
        <f>$B$6</f>
        <v/>
      </c>
      <c r="H649" s="15">
        <f>$B$7</f>
        <v/>
      </c>
      <c r="I649" s="22">
        <f>IF(AND(F649&gt;=G649,D649&gt;=H649),"FI reached","")</f>
        <v/>
      </c>
      <c r="J649" s="22">
        <f>IF(A649=720,"60-year model limit","")</f>
        <v/>
      </c>
    </row>
    <row r="650">
      <c r="A650" s="23" t="n">
        <v>634</v>
      </c>
      <c r="B650" s="24">
        <f>EDATE(TODAY(),A650)</f>
        <v/>
      </c>
      <c r="C650" s="25">
        <f>Inputs!$B$5+A650/12</f>
        <v/>
      </c>
      <c r="D650" s="15">
        <f>D649*(1+$B$8)^(1/12)+$B$10</f>
        <v/>
      </c>
      <c r="E650" s="15">
        <f>E649*(1+$B$9)^(1/12)</f>
        <v/>
      </c>
      <c r="F650" s="15">
        <f>D650+E650</f>
        <v/>
      </c>
      <c r="G650" s="15">
        <f>$B$6</f>
        <v/>
      </c>
      <c r="H650" s="15">
        <f>$B$7</f>
        <v/>
      </c>
      <c r="I650" s="22">
        <f>IF(AND(F650&gt;=G650,D650&gt;=H650),"FI reached","")</f>
        <v/>
      </c>
      <c r="J650" s="22">
        <f>IF(A650=720,"60-year model limit","")</f>
        <v/>
      </c>
    </row>
    <row r="651">
      <c r="A651" s="23" t="n">
        <v>635</v>
      </c>
      <c r="B651" s="24">
        <f>EDATE(TODAY(),A651)</f>
        <v/>
      </c>
      <c r="C651" s="25">
        <f>Inputs!$B$5+A651/12</f>
        <v/>
      </c>
      <c r="D651" s="15">
        <f>D650*(1+$B$8)^(1/12)+$B$10</f>
        <v/>
      </c>
      <c r="E651" s="15">
        <f>E650*(1+$B$9)^(1/12)</f>
        <v/>
      </c>
      <c r="F651" s="15">
        <f>D651+E651</f>
        <v/>
      </c>
      <c r="G651" s="15">
        <f>$B$6</f>
        <v/>
      </c>
      <c r="H651" s="15">
        <f>$B$7</f>
        <v/>
      </c>
      <c r="I651" s="22">
        <f>IF(AND(F651&gt;=G651,D651&gt;=H651),"FI reached","")</f>
        <v/>
      </c>
      <c r="J651" s="22">
        <f>IF(A651=720,"60-year model limit","")</f>
        <v/>
      </c>
    </row>
    <row r="652">
      <c r="A652" s="23" t="n">
        <v>636</v>
      </c>
      <c r="B652" s="24">
        <f>EDATE(TODAY(),A652)</f>
        <v/>
      </c>
      <c r="C652" s="25">
        <f>Inputs!$B$5+A652/12</f>
        <v/>
      </c>
      <c r="D652" s="15">
        <f>D651*(1+$B$8)^(1/12)+$B$10</f>
        <v/>
      </c>
      <c r="E652" s="15">
        <f>E651*(1+$B$9)^(1/12)</f>
        <v/>
      </c>
      <c r="F652" s="15">
        <f>D652+E652</f>
        <v/>
      </c>
      <c r="G652" s="15">
        <f>$B$6</f>
        <v/>
      </c>
      <c r="H652" s="15">
        <f>$B$7</f>
        <v/>
      </c>
      <c r="I652" s="22">
        <f>IF(AND(F652&gt;=G652,D652&gt;=H652),"FI reached","")</f>
        <v/>
      </c>
      <c r="J652" s="22">
        <f>IF(A652=720,"60-year model limit","")</f>
        <v/>
      </c>
    </row>
    <row r="653">
      <c r="A653" s="23" t="n">
        <v>637</v>
      </c>
      <c r="B653" s="24">
        <f>EDATE(TODAY(),A653)</f>
        <v/>
      </c>
      <c r="C653" s="25">
        <f>Inputs!$B$5+A653/12</f>
        <v/>
      </c>
      <c r="D653" s="15">
        <f>D652*(1+$B$8)^(1/12)+$B$10</f>
        <v/>
      </c>
      <c r="E653" s="15">
        <f>E652*(1+$B$9)^(1/12)</f>
        <v/>
      </c>
      <c r="F653" s="15">
        <f>D653+E653</f>
        <v/>
      </c>
      <c r="G653" s="15">
        <f>$B$6</f>
        <v/>
      </c>
      <c r="H653" s="15">
        <f>$B$7</f>
        <v/>
      </c>
      <c r="I653" s="22">
        <f>IF(AND(F653&gt;=G653,D653&gt;=H653),"FI reached","")</f>
        <v/>
      </c>
      <c r="J653" s="22">
        <f>IF(A653=720,"60-year model limit","")</f>
        <v/>
      </c>
    </row>
    <row r="654">
      <c r="A654" s="23" t="n">
        <v>638</v>
      </c>
      <c r="B654" s="24">
        <f>EDATE(TODAY(),A654)</f>
        <v/>
      </c>
      <c r="C654" s="25">
        <f>Inputs!$B$5+A654/12</f>
        <v/>
      </c>
      <c r="D654" s="15">
        <f>D653*(1+$B$8)^(1/12)+$B$10</f>
        <v/>
      </c>
      <c r="E654" s="15">
        <f>E653*(1+$B$9)^(1/12)</f>
        <v/>
      </c>
      <c r="F654" s="15">
        <f>D654+E654</f>
        <v/>
      </c>
      <c r="G654" s="15">
        <f>$B$6</f>
        <v/>
      </c>
      <c r="H654" s="15">
        <f>$B$7</f>
        <v/>
      </c>
      <c r="I654" s="22">
        <f>IF(AND(F654&gt;=G654,D654&gt;=H654),"FI reached","")</f>
        <v/>
      </c>
      <c r="J654" s="22">
        <f>IF(A654=720,"60-year model limit","")</f>
        <v/>
      </c>
    </row>
    <row r="655">
      <c r="A655" s="23" t="n">
        <v>639</v>
      </c>
      <c r="B655" s="24">
        <f>EDATE(TODAY(),A655)</f>
        <v/>
      </c>
      <c r="C655" s="25">
        <f>Inputs!$B$5+A655/12</f>
        <v/>
      </c>
      <c r="D655" s="15">
        <f>D654*(1+$B$8)^(1/12)+$B$10</f>
        <v/>
      </c>
      <c r="E655" s="15">
        <f>E654*(1+$B$9)^(1/12)</f>
        <v/>
      </c>
      <c r="F655" s="15">
        <f>D655+E655</f>
        <v/>
      </c>
      <c r="G655" s="15">
        <f>$B$6</f>
        <v/>
      </c>
      <c r="H655" s="15">
        <f>$B$7</f>
        <v/>
      </c>
      <c r="I655" s="22">
        <f>IF(AND(F655&gt;=G655,D655&gt;=H655),"FI reached","")</f>
        <v/>
      </c>
      <c r="J655" s="22">
        <f>IF(A655=720,"60-year model limit","")</f>
        <v/>
      </c>
    </row>
    <row r="656">
      <c r="A656" s="23" t="n">
        <v>640</v>
      </c>
      <c r="B656" s="24">
        <f>EDATE(TODAY(),A656)</f>
        <v/>
      </c>
      <c r="C656" s="25">
        <f>Inputs!$B$5+A656/12</f>
        <v/>
      </c>
      <c r="D656" s="15">
        <f>D655*(1+$B$8)^(1/12)+$B$10</f>
        <v/>
      </c>
      <c r="E656" s="15">
        <f>E655*(1+$B$9)^(1/12)</f>
        <v/>
      </c>
      <c r="F656" s="15">
        <f>D656+E656</f>
        <v/>
      </c>
      <c r="G656" s="15">
        <f>$B$6</f>
        <v/>
      </c>
      <c r="H656" s="15">
        <f>$B$7</f>
        <v/>
      </c>
      <c r="I656" s="22">
        <f>IF(AND(F656&gt;=G656,D656&gt;=H656),"FI reached","")</f>
        <v/>
      </c>
      <c r="J656" s="22">
        <f>IF(A656=720,"60-year model limit","")</f>
        <v/>
      </c>
    </row>
    <row r="657">
      <c r="A657" s="23" t="n">
        <v>641</v>
      </c>
      <c r="B657" s="24">
        <f>EDATE(TODAY(),A657)</f>
        <v/>
      </c>
      <c r="C657" s="25">
        <f>Inputs!$B$5+A657/12</f>
        <v/>
      </c>
      <c r="D657" s="15">
        <f>D656*(1+$B$8)^(1/12)+$B$10</f>
        <v/>
      </c>
      <c r="E657" s="15">
        <f>E656*(1+$B$9)^(1/12)</f>
        <v/>
      </c>
      <c r="F657" s="15">
        <f>D657+E657</f>
        <v/>
      </c>
      <c r="G657" s="15">
        <f>$B$6</f>
        <v/>
      </c>
      <c r="H657" s="15">
        <f>$B$7</f>
        <v/>
      </c>
      <c r="I657" s="22">
        <f>IF(AND(F657&gt;=G657,D657&gt;=H657),"FI reached","")</f>
        <v/>
      </c>
      <c r="J657" s="22">
        <f>IF(A657=720,"60-year model limit","")</f>
        <v/>
      </c>
    </row>
    <row r="658">
      <c r="A658" s="23" t="n">
        <v>642</v>
      </c>
      <c r="B658" s="24">
        <f>EDATE(TODAY(),A658)</f>
        <v/>
      </c>
      <c r="C658" s="25">
        <f>Inputs!$B$5+A658/12</f>
        <v/>
      </c>
      <c r="D658" s="15">
        <f>D657*(1+$B$8)^(1/12)+$B$10</f>
        <v/>
      </c>
      <c r="E658" s="15">
        <f>E657*(1+$B$9)^(1/12)</f>
        <v/>
      </c>
      <c r="F658" s="15">
        <f>D658+E658</f>
        <v/>
      </c>
      <c r="G658" s="15">
        <f>$B$6</f>
        <v/>
      </c>
      <c r="H658" s="15">
        <f>$B$7</f>
        <v/>
      </c>
      <c r="I658" s="22">
        <f>IF(AND(F658&gt;=G658,D658&gt;=H658),"FI reached","")</f>
        <v/>
      </c>
      <c r="J658" s="22">
        <f>IF(A658=720,"60-year model limit","")</f>
        <v/>
      </c>
    </row>
    <row r="659">
      <c r="A659" s="23" t="n">
        <v>643</v>
      </c>
      <c r="B659" s="24">
        <f>EDATE(TODAY(),A659)</f>
        <v/>
      </c>
      <c r="C659" s="25">
        <f>Inputs!$B$5+A659/12</f>
        <v/>
      </c>
      <c r="D659" s="15">
        <f>D658*(1+$B$8)^(1/12)+$B$10</f>
        <v/>
      </c>
      <c r="E659" s="15">
        <f>E658*(1+$B$9)^(1/12)</f>
        <v/>
      </c>
      <c r="F659" s="15">
        <f>D659+E659</f>
        <v/>
      </c>
      <c r="G659" s="15">
        <f>$B$6</f>
        <v/>
      </c>
      <c r="H659" s="15">
        <f>$B$7</f>
        <v/>
      </c>
      <c r="I659" s="22">
        <f>IF(AND(F659&gt;=G659,D659&gt;=H659),"FI reached","")</f>
        <v/>
      </c>
      <c r="J659" s="22">
        <f>IF(A659=720,"60-year model limit","")</f>
        <v/>
      </c>
    </row>
    <row r="660">
      <c r="A660" s="23" t="n">
        <v>644</v>
      </c>
      <c r="B660" s="24">
        <f>EDATE(TODAY(),A660)</f>
        <v/>
      </c>
      <c r="C660" s="25">
        <f>Inputs!$B$5+A660/12</f>
        <v/>
      </c>
      <c r="D660" s="15">
        <f>D659*(1+$B$8)^(1/12)+$B$10</f>
        <v/>
      </c>
      <c r="E660" s="15">
        <f>E659*(1+$B$9)^(1/12)</f>
        <v/>
      </c>
      <c r="F660" s="15">
        <f>D660+E660</f>
        <v/>
      </c>
      <c r="G660" s="15">
        <f>$B$6</f>
        <v/>
      </c>
      <c r="H660" s="15">
        <f>$B$7</f>
        <v/>
      </c>
      <c r="I660" s="22">
        <f>IF(AND(F660&gt;=G660,D660&gt;=H660),"FI reached","")</f>
        <v/>
      </c>
      <c r="J660" s="22">
        <f>IF(A660=720,"60-year model limit","")</f>
        <v/>
      </c>
    </row>
    <row r="661">
      <c r="A661" s="23" t="n">
        <v>645</v>
      </c>
      <c r="B661" s="24">
        <f>EDATE(TODAY(),A661)</f>
        <v/>
      </c>
      <c r="C661" s="25">
        <f>Inputs!$B$5+A661/12</f>
        <v/>
      </c>
      <c r="D661" s="15">
        <f>D660*(1+$B$8)^(1/12)+$B$10</f>
        <v/>
      </c>
      <c r="E661" s="15">
        <f>E660*(1+$B$9)^(1/12)</f>
        <v/>
      </c>
      <c r="F661" s="15">
        <f>D661+E661</f>
        <v/>
      </c>
      <c r="G661" s="15">
        <f>$B$6</f>
        <v/>
      </c>
      <c r="H661" s="15">
        <f>$B$7</f>
        <v/>
      </c>
      <c r="I661" s="22">
        <f>IF(AND(F661&gt;=G661,D661&gt;=H661),"FI reached","")</f>
        <v/>
      </c>
      <c r="J661" s="22">
        <f>IF(A661=720,"60-year model limit","")</f>
        <v/>
      </c>
    </row>
    <row r="662">
      <c r="A662" s="23" t="n">
        <v>646</v>
      </c>
      <c r="B662" s="24">
        <f>EDATE(TODAY(),A662)</f>
        <v/>
      </c>
      <c r="C662" s="25">
        <f>Inputs!$B$5+A662/12</f>
        <v/>
      </c>
      <c r="D662" s="15">
        <f>D661*(1+$B$8)^(1/12)+$B$10</f>
        <v/>
      </c>
      <c r="E662" s="15">
        <f>E661*(1+$B$9)^(1/12)</f>
        <v/>
      </c>
      <c r="F662" s="15">
        <f>D662+E662</f>
        <v/>
      </c>
      <c r="G662" s="15">
        <f>$B$6</f>
        <v/>
      </c>
      <c r="H662" s="15">
        <f>$B$7</f>
        <v/>
      </c>
      <c r="I662" s="22">
        <f>IF(AND(F662&gt;=G662,D662&gt;=H662),"FI reached","")</f>
        <v/>
      </c>
      <c r="J662" s="22">
        <f>IF(A662=720,"60-year model limit","")</f>
        <v/>
      </c>
    </row>
    <row r="663">
      <c r="A663" s="23" t="n">
        <v>647</v>
      </c>
      <c r="B663" s="24">
        <f>EDATE(TODAY(),A663)</f>
        <v/>
      </c>
      <c r="C663" s="25">
        <f>Inputs!$B$5+A663/12</f>
        <v/>
      </c>
      <c r="D663" s="15">
        <f>D662*(1+$B$8)^(1/12)+$B$10</f>
        <v/>
      </c>
      <c r="E663" s="15">
        <f>E662*(1+$B$9)^(1/12)</f>
        <v/>
      </c>
      <c r="F663" s="15">
        <f>D663+E663</f>
        <v/>
      </c>
      <c r="G663" s="15">
        <f>$B$6</f>
        <v/>
      </c>
      <c r="H663" s="15">
        <f>$B$7</f>
        <v/>
      </c>
      <c r="I663" s="22">
        <f>IF(AND(F663&gt;=G663,D663&gt;=H663),"FI reached","")</f>
        <v/>
      </c>
      <c r="J663" s="22">
        <f>IF(A663=720,"60-year model limit","")</f>
        <v/>
      </c>
    </row>
    <row r="664">
      <c r="A664" s="23" t="n">
        <v>648</v>
      </c>
      <c r="B664" s="24">
        <f>EDATE(TODAY(),A664)</f>
        <v/>
      </c>
      <c r="C664" s="25">
        <f>Inputs!$B$5+A664/12</f>
        <v/>
      </c>
      <c r="D664" s="15">
        <f>D663*(1+$B$8)^(1/12)+$B$10</f>
        <v/>
      </c>
      <c r="E664" s="15">
        <f>E663*(1+$B$9)^(1/12)</f>
        <v/>
      </c>
      <c r="F664" s="15">
        <f>D664+E664</f>
        <v/>
      </c>
      <c r="G664" s="15">
        <f>$B$6</f>
        <v/>
      </c>
      <c r="H664" s="15">
        <f>$B$7</f>
        <v/>
      </c>
      <c r="I664" s="22">
        <f>IF(AND(F664&gt;=G664,D664&gt;=H664),"FI reached","")</f>
        <v/>
      </c>
      <c r="J664" s="22">
        <f>IF(A664=720,"60-year model limit","")</f>
        <v/>
      </c>
    </row>
    <row r="665">
      <c r="A665" s="23" t="n">
        <v>649</v>
      </c>
      <c r="B665" s="24">
        <f>EDATE(TODAY(),A665)</f>
        <v/>
      </c>
      <c r="C665" s="25">
        <f>Inputs!$B$5+A665/12</f>
        <v/>
      </c>
      <c r="D665" s="15">
        <f>D664*(1+$B$8)^(1/12)+$B$10</f>
        <v/>
      </c>
      <c r="E665" s="15">
        <f>E664*(1+$B$9)^(1/12)</f>
        <v/>
      </c>
      <c r="F665" s="15">
        <f>D665+E665</f>
        <v/>
      </c>
      <c r="G665" s="15">
        <f>$B$6</f>
        <v/>
      </c>
      <c r="H665" s="15">
        <f>$B$7</f>
        <v/>
      </c>
      <c r="I665" s="22">
        <f>IF(AND(F665&gt;=G665,D665&gt;=H665),"FI reached","")</f>
        <v/>
      </c>
      <c r="J665" s="22">
        <f>IF(A665=720,"60-year model limit","")</f>
        <v/>
      </c>
    </row>
    <row r="666">
      <c r="A666" s="23" t="n">
        <v>650</v>
      </c>
      <c r="B666" s="24">
        <f>EDATE(TODAY(),A666)</f>
        <v/>
      </c>
      <c r="C666" s="25">
        <f>Inputs!$B$5+A666/12</f>
        <v/>
      </c>
      <c r="D666" s="15">
        <f>D665*(1+$B$8)^(1/12)+$B$10</f>
        <v/>
      </c>
      <c r="E666" s="15">
        <f>E665*(1+$B$9)^(1/12)</f>
        <v/>
      </c>
      <c r="F666" s="15">
        <f>D666+E666</f>
        <v/>
      </c>
      <c r="G666" s="15">
        <f>$B$6</f>
        <v/>
      </c>
      <c r="H666" s="15">
        <f>$B$7</f>
        <v/>
      </c>
      <c r="I666" s="22">
        <f>IF(AND(F666&gt;=G666,D666&gt;=H666),"FI reached","")</f>
        <v/>
      </c>
      <c r="J666" s="22">
        <f>IF(A666=720,"60-year model limit","")</f>
        <v/>
      </c>
    </row>
    <row r="667">
      <c r="A667" s="23" t="n">
        <v>651</v>
      </c>
      <c r="B667" s="24">
        <f>EDATE(TODAY(),A667)</f>
        <v/>
      </c>
      <c r="C667" s="25">
        <f>Inputs!$B$5+A667/12</f>
        <v/>
      </c>
      <c r="D667" s="15">
        <f>D666*(1+$B$8)^(1/12)+$B$10</f>
        <v/>
      </c>
      <c r="E667" s="15">
        <f>E666*(1+$B$9)^(1/12)</f>
        <v/>
      </c>
      <c r="F667" s="15">
        <f>D667+E667</f>
        <v/>
      </c>
      <c r="G667" s="15">
        <f>$B$6</f>
        <v/>
      </c>
      <c r="H667" s="15">
        <f>$B$7</f>
        <v/>
      </c>
      <c r="I667" s="22">
        <f>IF(AND(F667&gt;=G667,D667&gt;=H667),"FI reached","")</f>
        <v/>
      </c>
      <c r="J667" s="22">
        <f>IF(A667=720,"60-year model limit","")</f>
        <v/>
      </c>
    </row>
    <row r="668">
      <c r="A668" s="23" t="n">
        <v>652</v>
      </c>
      <c r="B668" s="24">
        <f>EDATE(TODAY(),A668)</f>
        <v/>
      </c>
      <c r="C668" s="25">
        <f>Inputs!$B$5+A668/12</f>
        <v/>
      </c>
      <c r="D668" s="15">
        <f>D667*(1+$B$8)^(1/12)+$B$10</f>
        <v/>
      </c>
      <c r="E668" s="15">
        <f>E667*(1+$B$9)^(1/12)</f>
        <v/>
      </c>
      <c r="F668" s="15">
        <f>D668+E668</f>
        <v/>
      </c>
      <c r="G668" s="15">
        <f>$B$6</f>
        <v/>
      </c>
      <c r="H668" s="15">
        <f>$B$7</f>
        <v/>
      </c>
      <c r="I668" s="22">
        <f>IF(AND(F668&gt;=G668,D668&gt;=H668),"FI reached","")</f>
        <v/>
      </c>
      <c r="J668" s="22">
        <f>IF(A668=720,"60-year model limit","")</f>
        <v/>
      </c>
    </row>
    <row r="669">
      <c r="A669" s="23" t="n">
        <v>653</v>
      </c>
      <c r="B669" s="24">
        <f>EDATE(TODAY(),A669)</f>
        <v/>
      </c>
      <c r="C669" s="25">
        <f>Inputs!$B$5+A669/12</f>
        <v/>
      </c>
      <c r="D669" s="15">
        <f>D668*(1+$B$8)^(1/12)+$B$10</f>
        <v/>
      </c>
      <c r="E669" s="15">
        <f>E668*(1+$B$9)^(1/12)</f>
        <v/>
      </c>
      <c r="F669" s="15">
        <f>D669+E669</f>
        <v/>
      </c>
      <c r="G669" s="15">
        <f>$B$6</f>
        <v/>
      </c>
      <c r="H669" s="15">
        <f>$B$7</f>
        <v/>
      </c>
      <c r="I669" s="22">
        <f>IF(AND(F669&gt;=G669,D669&gt;=H669),"FI reached","")</f>
        <v/>
      </c>
      <c r="J669" s="22">
        <f>IF(A669=720,"60-year model limit","")</f>
        <v/>
      </c>
    </row>
    <row r="670">
      <c r="A670" s="23" t="n">
        <v>654</v>
      </c>
      <c r="B670" s="24">
        <f>EDATE(TODAY(),A670)</f>
        <v/>
      </c>
      <c r="C670" s="25">
        <f>Inputs!$B$5+A670/12</f>
        <v/>
      </c>
      <c r="D670" s="15">
        <f>D669*(1+$B$8)^(1/12)+$B$10</f>
        <v/>
      </c>
      <c r="E670" s="15">
        <f>E669*(1+$B$9)^(1/12)</f>
        <v/>
      </c>
      <c r="F670" s="15">
        <f>D670+E670</f>
        <v/>
      </c>
      <c r="G670" s="15">
        <f>$B$6</f>
        <v/>
      </c>
      <c r="H670" s="15">
        <f>$B$7</f>
        <v/>
      </c>
      <c r="I670" s="22">
        <f>IF(AND(F670&gt;=G670,D670&gt;=H670),"FI reached","")</f>
        <v/>
      </c>
      <c r="J670" s="22">
        <f>IF(A670=720,"60-year model limit","")</f>
        <v/>
      </c>
    </row>
    <row r="671">
      <c r="A671" s="23" t="n">
        <v>655</v>
      </c>
      <c r="B671" s="24">
        <f>EDATE(TODAY(),A671)</f>
        <v/>
      </c>
      <c r="C671" s="25">
        <f>Inputs!$B$5+A671/12</f>
        <v/>
      </c>
      <c r="D671" s="15">
        <f>D670*(1+$B$8)^(1/12)+$B$10</f>
        <v/>
      </c>
      <c r="E671" s="15">
        <f>E670*(1+$B$9)^(1/12)</f>
        <v/>
      </c>
      <c r="F671" s="15">
        <f>D671+E671</f>
        <v/>
      </c>
      <c r="G671" s="15">
        <f>$B$6</f>
        <v/>
      </c>
      <c r="H671" s="15">
        <f>$B$7</f>
        <v/>
      </c>
      <c r="I671" s="22">
        <f>IF(AND(F671&gt;=G671,D671&gt;=H671),"FI reached","")</f>
        <v/>
      </c>
      <c r="J671" s="22">
        <f>IF(A671=720,"60-year model limit","")</f>
        <v/>
      </c>
    </row>
    <row r="672">
      <c r="A672" s="23" t="n">
        <v>656</v>
      </c>
      <c r="B672" s="24">
        <f>EDATE(TODAY(),A672)</f>
        <v/>
      </c>
      <c r="C672" s="25">
        <f>Inputs!$B$5+A672/12</f>
        <v/>
      </c>
      <c r="D672" s="15">
        <f>D671*(1+$B$8)^(1/12)+$B$10</f>
        <v/>
      </c>
      <c r="E672" s="15">
        <f>E671*(1+$B$9)^(1/12)</f>
        <v/>
      </c>
      <c r="F672" s="15">
        <f>D672+E672</f>
        <v/>
      </c>
      <c r="G672" s="15">
        <f>$B$6</f>
        <v/>
      </c>
      <c r="H672" s="15">
        <f>$B$7</f>
        <v/>
      </c>
      <c r="I672" s="22">
        <f>IF(AND(F672&gt;=G672,D672&gt;=H672),"FI reached","")</f>
        <v/>
      </c>
      <c r="J672" s="22">
        <f>IF(A672=720,"60-year model limit","")</f>
        <v/>
      </c>
    </row>
    <row r="673">
      <c r="A673" s="23" t="n">
        <v>657</v>
      </c>
      <c r="B673" s="24">
        <f>EDATE(TODAY(),A673)</f>
        <v/>
      </c>
      <c r="C673" s="25">
        <f>Inputs!$B$5+A673/12</f>
        <v/>
      </c>
      <c r="D673" s="15">
        <f>D672*(1+$B$8)^(1/12)+$B$10</f>
        <v/>
      </c>
      <c r="E673" s="15">
        <f>E672*(1+$B$9)^(1/12)</f>
        <v/>
      </c>
      <c r="F673" s="15">
        <f>D673+E673</f>
        <v/>
      </c>
      <c r="G673" s="15">
        <f>$B$6</f>
        <v/>
      </c>
      <c r="H673" s="15">
        <f>$B$7</f>
        <v/>
      </c>
      <c r="I673" s="22">
        <f>IF(AND(F673&gt;=G673,D673&gt;=H673),"FI reached","")</f>
        <v/>
      </c>
      <c r="J673" s="22">
        <f>IF(A673=720,"60-year model limit","")</f>
        <v/>
      </c>
    </row>
    <row r="674">
      <c r="A674" s="23" t="n">
        <v>658</v>
      </c>
      <c r="B674" s="24">
        <f>EDATE(TODAY(),A674)</f>
        <v/>
      </c>
      <c r="C674" s="25">
        <f>Inputs!$B$5+A674/12</f>
        <v/>
      </c>
      <c r="D674" s="15">
        <f>D673*(1+$B$8)^(1/12)+$B$10</f>
        <v/>
      </c>
      <c r="E674" s="15">
        <f>E673*(1+$B$9)^(1/12)</f>
        <v/>
      </c>
      <c r="F674" s="15">
        <f>D674+E674</f>
        <v/>
      </c>
      <c r="G674" s="15">
        <f>$B$6</f>
        <v/>
      </c>
      <c r="H674" s="15">
        <f>$B$7</f>
        <v/>
      </c>
      <c r="I674" s="22">
        <f>IF(AND(F674&gt;=G674,D674&gt;=H674),"FI reached","")</f>
        <v/>
      </c>
      <c r="J674" s="22">
        <f>IF(A674=720,"60-year model limit","")</f>
        <v/>
      </c>
    </row>
    <row r="675">
      <c r="A675" s="23" t="n">
        <v>659</v>
      </c>
      <c r="B675" s="24">
        <f>EDATE(TODAY(),A675)</f>
        <v/>
      </c>
      <c r="C675" s="25">
        <f>Inputs!$B$5+A675/12</f>
        <v/>
      </c>
      <c r="D675" s="15">
        <f>D674*(1+$B$8)^(1/12)+$B$10</f>
        <v/>
      </c>
      <c r="E675" s="15">
        <f>E674*(1+$B$9)^(1/12)</f>
        <v/>
      </c>
      <c r="F675" s="15">
        <f>D675+E675</f>
        <v/>
      </c>
      <c r="G675" s="15">
        <f>$B$6</f>
        <v/>
      </c>
      <c r="H675" s="15">
        <f>$B$7</f>
        <v/>
      </c>
      <c r="I675" s="22">
        <f>IF(AND(F675&gt;=G675,D675&gt;=H675),"FI reached","")</f>
        <v/>
      </c>
      <c r="J675" s="22">
        <f>IF(A675=720,"60-year model limit","")</f>
        <v/>
      </c>
    </row>
    <row r="676">
      <c r="A676" s="23" t="n">
        <v>660</v>
      </c>
      <c r="B676" s="24">
        <f>EDATE(TODAY(),A676)</f>
        <v/>
      </c>
      <c r="C676" s="25">
        <f>Inputs!$B$5+A676/12</f>
        <v/>
      </c>
      <c r="D676" s="15">
        <f>D675*(1+$B$8)^(1/12)+$B$10</f>
        <v/>
      </c>
      <c r="E676" s="15">
        <f>E675*(1+$B$9)^(1/12)</f>
        <v/>
      </c>
      <c r="F676" s="15">
        <f>D676+E676</f>
        <v/>
      </c>
      <c r="G676" s="15">
        <f>$B$6</f>
        <v/>
      </c>
      <c r="H676" s="15">
        <f>$B$7</f>
        <v/>
      </c>
      <c r="I676" s="22">
        <f>IF(AND(F676&gt;=G676,D676&gt;=H676),"FI reached","")</f>
        <v/>
      </c>
      <c r="J676" s="22">
        <f>IF(A676=720,"60-year model limit","")</f>
        <v/>
      </c>
    </row>
    <row r="677">
      <c r="A677" s="23" t="n">
        <v>661</v>
      </c>
      <c r="B677" s="24">
        <f>EDATE(TODAY(),A677)</f>
        <v/>
      </c>
      <c r="C677" s="25">
        <f>Inputs!$B$5+A677/12</f>
        <v/>
      </c>
      <c r="D677" s="15">
        <f>D676*(1+$B$8)^(1/12)+$B$10</f>
        <v/>
      </c>
      <c r="E677" s="15">
        <f>E676*(1+$B$9)^(1/12)</f>
        <v/>
      </c>
      <c r="F677" s="15">
        <f>D677+E677</f>
        <v/>
      </c>
      <c r="G677" s="15">
        <f>$B$6</f>
        <v/>
      </c>
      <c r="H677" s="15">
        <f>$B$7</f>
        <v/>
      </c>
      <c r="I677" s="22">
        <f>IF(AND(F677&gt;=G677,D677&gt;=H677),"FI reached","")</f>
        <v/>
      </c>
      <c r="J677" s="22">
        <f>IF(A677=720,"60-year model limit","")</f>
        <v/>
      </c>
    </row>
    <row r="678">
      <c r="A678" s="23" t="n">
        <v>662</v>
      </c>
      <c r="B678" s="24">
        <f>EDATE(TODAY(),A678)</f>
        <v/>
      </c>
      <c r="C678" s="25">
        <f>Inputs!$B$5+A678/12</f>
        <v/>
      </c>
      <c r="D678" s="15">
        <f>D677*(1+$B$8)^(1/12)+$B$10</f>
        <v/>
      </c>
      <c r="E678" s="15">
        <f>E677*(1+$B$9)^(1/12)</f>
        <v/>
      </c>
      <c r="F678" s="15">
        <f>D678+E678</f>
        <v/>
      </c>
      <c r="G678" s="15">
        <f>$B$6</f>
        <v/>
      </c>
      <c r="H678" s="15">
        <f>$B$7</f>
        <v/>
      </c>
      <c r="I678" s="22">
        <f>IF(AND(F678&gt;=G678,D678&gt;=H678),"FI reached","")</f>
        <v/>
      </c>
      <c r="J678" s="22">
        <f>IF(A678=720,"60-year model limit","")</f>
        <v/>
      </c>
    </row>
    <row r="679">
      <c r="A679" s="23" t="n">
        <v>663</v>
      </c>
      <c r="B679" s="24">
        <f>EDATE(TODAY(),A679)</f>
        <v/>
      </c>
      <c r="C679" s="25">
        <f>Inputs!$B$5+A679/12</f>
        <v/>
      </c>
      <c r="D679" s="15">
        <f>D678*(1+$B$8)^(1/12)+$B$10</f>
        <v/>
      </c>
      <c r="E679" s="15">
        <f>E678*(1+$B$9)^(1/12)</f>
        <v/>
      </c>
      <c r="F679" s="15">
        <f>D679+E679</f>
        <v/>
      </c>
      <c r="G679" s="15">
        <f>$B$6</f>
        <v/>
      </c>
      <c r="H679" s="15">
        <f>$B$7</f>
        <v/>
      </c>
      <c r="I679" s="22">
        <f>IF(AND(F679&gt;=G679,D679&gt;=H679),"FI reached","")</f>
        <v/>
      </c>
      <c r="J679" s="22">
        <f>IF(A679=720,"60-year model limit","")</f>
        <v/>
      </c>
    </row>
    <row r="680">
      <c r="A680" s="23" t="n">
        <v>664</v>
      </c>
      <c r="B680" s="24">
        <f>EDATE(TODAY(),A680)</f>
        <v/>
      </c>
      <c r="C680" s="25">
        <f>Inputs!$B$5+A680/12</f>
        <v/>
      </c>
      <c r="D680" s="15">
        <f>D679*(1+$B$8)^(1/12)+$B$10</f>
        <v/>
      </c>
      <c r="E680" s="15">
        <f>E679*(1+$B$9)^(1/12)</f>
        <v/>
      </c>
      <c r="F680" s="15">
        <f>D680+E680</f>
        <v/>
      </c>
      <c r="G680" s="15">
        <f>$B$6</f>
        <v/>
      </c>
      <c r="H680" s="15">
        <f>$B$7</f>
        <v/>
      </c>
      <c r="I680" s="22">
        <f>IF(AND(F680&gt;=G680,D680&gt;=H680),"FI reached","")</f>
        <v/>
      </c>
      <c r="J680" s="22">
        <f>IF(A680=720,"60-year model limit","")</f>
        <v/>
      </c>
    </row>
    <row r="681">
      <c r="A681" s="23" t="n">
        <v>665</v>
      </c>
      <c r="B681" s="24">
        <f>EDATE(TODAY(),A681)</f>
        <v/>
      </c>
      <c r="C681" s="25">
        <f>Inputs!$B$5+A681/12</f>
        <v/>
      </c>
      <c r="D681" s="15">
        <f>D680*(1+$B$8)^(1/12)+$B$10</f>
        <v/>
      </c>
      <c r="E681" s="15">
        <f>E680*(1+$B$9)^(1/12)</f>
        <v/>
      </c>
      <c r="F681" s="15">
        <f>D681+E681</f>
        <v/>
      </c>
      <c r="G681" s="15">
        <f>$B$6</f>
        <v/>
      </c>
      <c r="H681" s="15">
        <f>$B$7</f>
        <v/>
      </c>
      <c r="I681" s="22">
        <f>IF(AND(F681&gt;=G681,D681&gt;=H681),"FI reached","")</f>
        <v/>
      </c>
      <c r="J681" s="22">
        <f>IF(A681=720,"60-year model limit","")</f>
        <v/>
      </c>
    </row>
    <row r="682">
      <c r="A682" s="23" t="n">
        <v>666</v>
      </c>
      <c r="B682" s="24">
        <f>EDATE(TODAY(),A682)</f>
        <v/>
      </c>
      <c r="C682" s="25">
        <f>Inputs!$B$5+A682/12</f>
        <v/>
      </c>
      <c r="D682" s="15">
        <f>D681*(1+$B$8)^(1/12)+$B$10</f>
        <v/>
      </c>
      <c r="E682" s="15">
        <f>E681*(1+$B$9)^(1/12)</f>
        <v/>
      </c>
      <c r="F682" s="15">
        <f>D682+E682</f>
        <v/>
      </c>
      <c r="G682" s="15">
        <f>$B$6</f>
        <v/>
      </c>
      <c r="H682" s="15">
        <f>$B$7</f>
        <v/>
      </c>
      <c r="I682" s="22">
        <f>IF(AND(F682&gt;=G682,D682&gt;=H682),"FI reached","")</f>
        <v/>
      </c>
      <c r="J682" s="22">
        <f>IF(A682=720,"60-year model limit","")</f>
        <v/>
      </c>
    </row>
    <row r="683">
      <c r="A683" s="23" t="n">
        <v>667</v>
      </c>
      <c r="B683" s="24">
        <f>EDATE(TODAY(),A683)</f>
        <v/>
      </c>
      <c r="C683" s="25">
        <f>Inputs!$B$5+A683/12</f>
        <v/>
      </c>
      <c r="D683" s="15">
        <f>D682*(1+$B$8)^(1/12)+$B$10</f>
        <v/>
      </c>
      <c r="E683" s="15">
        <f>E682*(1+$B$9)^(1/12)</f>
        <v/>
      </c>
      <c r="F683" s="15">
        <f>D683+E683</f>
        <v/>
      </c>
      <c r="G683" s="15">
        <f>$B$6</f>
        <v/>
      </c>
      <c r="H683" s="15">
        <f>$B$7</f>
        <v/>
      </c>
      <c r="I683" s="22">
        <f>IF(AND(F683&gt;=G683,D683&gt;=H683),"FI reached","")</f>
        <v/>
      </c>
      <c r="J683" s="22">
        <f>IF(A683=720,"60-year model limit","")</f>
        <v/>
      </c>
    </row>
    <row r="684">
      <c r="A684" s="23" t="n">
        <v>668</v>
      </c>
      <c r="B684" s="24">
        <f>EDATE(TODAY(),A684)</f>
        <v/>
      </c>
      <c r="C684" s="25">
        <f>Inputs!$B$5+A684/12</f>
        <v/>
      </c>
      <c r="D684" s="15">
        <f>D683*(1+$B$8)^(1/12)+$B$10</f>
        <v/>
      </c>
      <c r="E684" s="15">
        <f>E683*(1+$B$9)^(1/12)</f>
        <v/>
      </c>
      <c r="F684" s="15">
        <f>D684+E684</f>
        <v/>
      </c>
      <c r="G684" s="15">
        <f>$B$6</f>
        <v/>
      </c>
      <c r="H684" s="15">
        <f>$B$7</f>
        <v/>
      </c>
      <c r="I684" s="22">
        <f>IF(AND(F684&gt;=G684,D684&gt;=H684),"FI reached","")</f>
        <v/>
      </c>
      <c r="J684" s="22">
        <f>IF(A684=720,"60-year model limit","")</f>
        <v/>
      </c>
    </row>
    <row r="685">
      <c r="A685" s="23" t="n">
        <v>669</v>
      </c>
      <c r="B685" s="24">
        <f>EDATE(TODAY(),A685)</f>
        <v/>
      </c>
      <c r="C685" s="25">
        <f>Inputs!$B$5+A685/12</f>
        <v/>
      </c>
      <c r="D685" s="15">
        <f>D684*(1+$B$8)^(1/12)+$B$10</f>
        <v/>
      </c>
      <c r="E685" s="15">
        <f>E684*(1+$B$9)^(1/12)</f>
        <v/>
      </c>
      <c r="F685" s="15">
        <f>D685+E685</f>
        <v/>
      </c>
      <c r="G685" s="15">
        <f>$B$6</f>
        <v/>
      </c>
      <c r="H685" s="15">
        <f>$B$7</f>
        <v/>
      </c>
      <c r="I685" s="22">
        <f>IF(AND(F685&gt;=G685,D685&gt;=H685),"FI reached","")</f>
        <v/>
      </c>
      <c r="J685" s="22">
        <f>IF(A685=720,"60-year model limit","")</f>
        <v/>
      </c>
    </row>
    <row r="686">
      <c r="A686" s="23" t="n">
        <v>670</v>
      </c>
      <c r="B686" s="24">
        <f>EDATE(TODAY(),A686)</f>
        <v/>
      </c>
      <c r="C686" s="25">
        <f>Inputs!$B$5+A686/12</f>
        <v/>
      </c>
      <c r="D686" s="15">
        <f>D685*(1+$B$8)^(1/12)+$B$10</f>
        <v/>
      </c>
      <c r="E686" s="15">
        <f>E685*(1+$B$9)^(1/12)</f>
        <v/>
      </c>
      <c r="F686" s="15">
        <f>D686+E686</f>
        <v/>
      </c>
      <c r="G686" s="15">
        <f>$B$6</f>
        <v/>
      </c>
      <c r="H686" s="15">
        <f>$B$7</f>
        <v/>
      </c>
      <c r="I686" s="22">
        <f>IF(AND(F686&gt;=G686,D686&gt;=H686),"FI reached","")</f>
        <v/>
      </c>
      <c r="J686" s="22">
        <f>IF(A686=720,"60-year model limit","")</f>
        <v/>
      </c>
    </row>
    <row r="687">
      <c r="A687" s="23" t="n">
        <v>671</v>
      </c>
      <c r="B687" s="24">
        <f>EDATE(TODAY(),A687)</f>
        <v/>
      </c>
      <c r="C687" s="25">
        <f>Inputs!$B$5+A687/12</f>
        <v/>
      </c>
      <c r="D687" s="15">
        <f>D686*(1+$B$8)^(1/12)+$B$10</f>
        <v/>
      </c>
      <c r="E687" s="15">
        <f>E686*(1+$B$9)^(1/12)</f>
        <v/>
      </c>
      <c r="F687" s="15">
        <f>D687+E687</f>
        <v/>
      </c>
      <c r="G687" s="15">
        <f>$B$6</f>
        <v/>
      </c>
      <c r="H687" s="15">
        <f>$B$7</f>
        <v/>
      </c>
      <c r="I687" s="22">
        <f>IF(AND(F687&gt;=G687,D687&gt;=H687),"FI reached","")</f>
        <v/>
      </c>
      <c r="J687" s="22">
        <f>IF(A687=720,"60-year model limit","")</f>
        <v/>
      </c>
    </row>
    <row r="688">
      <c r="A688" s="23" t="n">
        <v>672</v>
      </c>
      <c r="B688" s="24">
        <f>EDATE(TODAY(),A688)</f>
        <v/>
      </c>
      <c r="C688" s="25">
        <f>Inputs!$B$5+A688/12</f>
        <v/>
      </c>
      <c r="D688" s="15">
        <f>D687*(1+$B$8)^(1/12)+$B$10</f>
        <v/>
      </c>
      <c r="E688" s="15">
        <f>E687*(1+$B$9)^(1/12)</f>
        <v/>
      </c>
      <c r="F688" s="15">
        <f>D688+E688</f>
        <v/>
      </c>
      <c r="G688" s="15">
        <f>$B$6</f>
        <v/>
      </c>
      <c r="H688" s="15">
        <f>$B$7</f>
        <v/>
      </c>
      <c r="I688" s="22">
        <f>IF(AND(F688&gt;=G688,D688&gt;=H688),"FI reached","")</f>
        <v/>
      </c>
      <c r="J688" s="22">
        <f>IF(A688=720,"60-year model limit","")</f>
        <v/>
      </c>
    </row>
    <row r="689">
      <c r="A689" s="23" t="n">
        <v>673</v>
      </c>
      <c r="B689" s="24">
        <f>EDATE(TODAY(),A689)</f>
        <v/>
      </c>
      <c r="C689" s="25">
        <f>Inputs!$B$5+A689/12</f>
        <v/>
      </c>
      <c r="D689" s="15">
        <f>D688*(1+$B$8)^(1/12)+$B$10</f>
        <v/>
      </c>
      <c r="E689" s="15">
        <f>E688*(1+$B$9)^(1/12)</f>
        <v/>
      </c>
      <c r="F689" s="15">
        <f>D689+E689</f>
        <v/>
      </c>
      <c r="G689" s="15">
        <f>$B$6</f>
        <v/>
      </c>
      <c r="H689" s="15">
        <f>$B$7</f>
        <v/>
      </c>
      <c r="I689" s="22">
        <f>IF(AND(F689&gt;=G689,D689&gt;=H689),"FI reached","")</f>
        <v/>
      </c>
      <c r="J689" s="22">
        <f>IF(A689=720,"60-year model limit","")</f>
        <v/>
      </c>
    </row>
    <row r="690">
      <c r="A690" s="23" t="n">
        <v>674</v>
      </c>
      <c r="B690" s="24">
        <f>EDATE(TODAY(),A690)</f>
        <v/>
      </c>
      <c r="C690" s="25">
        <f>Inputs!$B$5+A690/12</f>
        <v/>
      </c>
      <c r="D690" s="15">
        <f>D689*(1+$B$8)^(1/12)+$B$10</f>
        <v/>
      </c>
      <c r="E690" s="15">
        <f>E689*(1+$B$9)^(1/12)</f>
        <v/>
      </c>
      <c r="F690" s="15">
        <f>D690+E690</f>
        <v/>
      </c>
      <c r="G690" s="15">
        <f>$B$6</f>
        <v/>
      </c>
      <c r="H690" s="15">
        <f>$B$7</f>
        <v/>
      </c>
      <c r="I690" s="22">
        <f>IF(AND(F690&gt;=G690,D690&gt;=H690),"FI reached","")</f>
        <v/>
      </c>
      <c r="J690" s="22">
        <f>IF(A690=720,"60-year model limit","")</f>
        <v/>
      </c>
    </row>
    <row r="691">
      <c r="A691" s="23" t="n">
        <v>675</v>
      </c>
      <c r="B691" s="24">
        <f>EDATE(TODAY(),A691)</f>
        <v/>
      </c>
      <c r="C691" s="25">
        <f>Inputs!$B$5+A691/12</f>
        <v/>
      </c>
      <c r="D691" s="15">
        <f>D690*(1+$B$8)^(1/12)+$B$10</f>
        <v/>
      </c>
      <c r="E691" s="15">
        <f>E690*(1+$B$9)^(1/12)</f>
        <v/>
      </c>
      <c r="F691" s="15">
        <f>D691+E691</f>
        <v/>
      </c>
      <c r="G691" s="15">
        <f>$B$6</f>
        <v/>
      </c>
      <c r="H691" s="15">
        <f>$B$7</f>
        <v/>
      </c>
      <c r="I691" s="22">
        <f>IF(AND(F691&gt;=G691,D691&gt;=H691),"FI reached","")</f>
        <v/>
      </c>
      <c r="J691" s="22">
        <f>IF(A691=720,"60-year model limit","")</f>
        <v/>
      </c>
    </row>
    <row r="692">
      <c r="A692" s="23" t="n">
        <v>676</v>
      </c>
      <c r="B692" s="24">
        <f>EDATE(TODAY(),A692)</f>
        <v/>
      </c>
      <c r="C692" s="25">
        <f>Inputs!$B$5+A692/12</f>
        <v/>
      </c>
      <c r="D692" s="15">
        <f>D691*(1+$B$8)^(1/12)+$B$10</f>
        <v/>
      </c>
      <c r="E692" s="15">
        <f>E691*(1+$B$9)^(1/12)</f>
        <v/>
      </c>
      <c r="F692" s="15">
        <f>D692+E692</f>
        <v/>
      </c>
      <c r="G692" s="15">
        <f>$B$6</f>
        <v/>
      </c>
      <c r="H692" s="15">
        <f>$B$7</f>
        <v/>
      </c>
      <c r="I692" s="22">
        <f>IF(AND(F692&gt;=G692,D692&gt;=H692),"FI reached","")</f>
        <v/>
      </c>
      <c r="J692" s="22">
        <f>IF(A692=720,"60-year model limit","")</f>
        <v/>
      </c>
    </row>
    <row r="693">
      <c r="A693" s="23" t="n">
        <v>677</v>
      </c>
      <c r="B693" s="24">
        <f>EDATE(TODAY(),A693)</f>
        <v/>
      </c>
      <c r="C693" s="25">
        <f>Inputs!$B$5+A693/12</f>
        <v/>
      </c>
      <c r="D693" s="15">
        <f>D692*(1+$B$8)^(1/12)+$B$10</f>
        <v/>
      </c>
      <c r="E693" s="15">
        <f>E692*(1+$B$9)^(1/12)</f>
        <v/>
      </c>
      <c r="F693" s="15">
        <f>D693+E693</f>
        <v/>
      </c>
      <c r="G693" s="15">
        <f>$B$6</f>
        <v/>
      </c>
      <c r="H693" s="15">
        <f>$B$7</f>
        <v/>
      </c>
      <c r="I693" s="22">
        <f>IF(AND(F693&gt;=G693,D693&gt;=H693),"FI reached","")</f>
        <v/>
      </c>
      <c r="J693" s="22">
        <f>IF(A693=720,"60-year model limit","")</f>
        <v/>
      </c>
    </row>
    <row r="694">
      <c r="A694" s="23" t="n">
        <v>678</v>
      </c>
      <c r="B694" s="24">
        <f>EDATE(TODAY(),A694)</f>
        <v/>
      </c>
      <c r="C694" s="25">
        <f>Inputs!$B$5+A694/12</f>
        <v/>
      </c>
      <c r="D694" s="15">
        <f>D693*(1+$B$8)^(1/12)+$B$10</f>
        <v/>
      </c>
      <c r="E694" s="15">
        <f>E693*(1+$B$9)^(1/12)</f>
        <v/>
      </c>
      <c r="F694" s="15">
        <f>D694+E694</f>
        <v/>
      </c>
      <c r="G694" s="15">
        <f>$B$6</f>
        <v/>
      </c>
      <c r="H694" s="15">
        <f>$B$7</f>
        <v/>
      </c>
      <c r="I694" s="22">
        <f>IF(AND(F694&gt;=G694,D694&gt;=H694),"FI reached","")</f>
        <v/>
      </c>
      <c r="J694" s="22">
        <f>IF(A694=720,"60-year model limit","")</f>
        <v/>
      </c>
    </row>
    <row r="695">
      <c r="A695" s="23" t="n">
        <v>679</v>
      </c>
      <c r="B695" s="24">
        <f>EDATE(TODAY(),A695)</f>
        <v/>
      </c>
      <c r="C695" s="25">
        <f>Inputs!$B$5+A695/12</f>
        <v/>
      </c>
      <c r="D695" s="15">
        <f>D694*(1+$B$8)^(1/12)+$B$10</f>
        <v/>
      </c>
      <c r="E695" s="15">
        <f>E694*(1+$B$9)^(1/12)</f>
        <v/>
      </c>
      <c r="F695" s="15">
        <f>D695+E695</f>
        <v/>
      </c>
      <c r="G695" s="15">
        <f>$B$6</f>
        <v/>
      </c>
      <c r="H695" s="15">
        <f>$B$7</f>
        <v/>
      </c>
      <c r="I695" s="22">
        <f>IF(AND(F695&gt;=G695,D695&gt;=H695),"FI reached","")</f>
        <v/>
      </c>
      <c r="J695" s="22">
        <f>IF(A695=720,"60-year model limit","")</f>
        <v/>
      </c>
    </row>
    <row r="696">
      <c r="A696" s="23" t="n">
        <v>680</v>
      </c>
      <c r="B696" s="24">
        <f>EDATE(TODAY(),A696)</f>
        <v/>
      </c>
      <c r="C696" s="25">
        <f>Inputs!$B$5+A696/12</f>
        <v/>
      </c>
      <c r="D696" s="15">
        <f>D695*(1+$B$8)^(1/12)+$B$10</f>
        <v/>
      </c>
      <c r="E696" s="15">
        <f>E695*(1+$B$9)^(1/12)</f>
        <v/>
      </c>
      <c r="F696" s="15">
        <f>D696+E696</f>
        <v/>
      </c>
      <c r="G696" s="15">
        <f>$B$6</f>
        <v/>
      </c>
      <c r="H696" s="15">
        <f>$B$7</f>
        <v/>
      </c>
      <c r="I696" s="22">
        <f>IF(AND(F696&gt;=G696,D696&gt;=H696),"FI reached","")</f>
        <v/>
      </c>
      <c r="J696" s="22">
        <f>IF(A696=720,"60-year model limit","")</f>
        <v/>
      </c>
    </row>
    <row r="697">
      <c r="A697" s="23" t="n">
        <v>681</v>
      </c>
      <c r="B697" s="24">
        <f>EDATE(TODAY(),A697)</f>
        <v/>
      </c>
      <c r="C697" s="25">
        <f>Inputs!$B$5+A697/12</f>
        <v/>
      </c>
      <c r="D697" s="15">
        <f>D696*(1+$B$8)^(1/12)+$B$10</f>
        <v/>
      </c>
      <c r="E697" s="15">
        <f>E696*(1+$B$9)^(1/12)</f>
        <v/>
      </c>
      <c r="F697" s="15">
        <f>D697+E697</f>
        <v/>
      </c>
      <c r="G697" s="15">
        <f>$B$6</f>
        <v/>
      </c>
      <c r="H697" s="15">
        <f>$B$7</f>
        <v/>
      </c>
      <c r="I697" s="22">
        <f>IF(AND(F697&gt;=G697,D697&gt;=H697),"FI reached","")</f>
        <v/>
      </c>
      <c r="J697" s="22">
        <f>IF(A697=720,"60-year model limit","")</f>
        <v/>
      </c>
    </row>
    <row r="698">
      <c r="A698" s="23" t="n">
        <v>682</v>
      </c>
      <c r="B698" s="24">
        <f>EDATE(TODAY(),A698)</f>
        <v/>
      </c>
      <c r="C698" s="25">
        <f>Inputs!$B$5+A698/12</f>
        <v/>
      </c>
      <c r="D698" s="15">
        <f>D697*(1+$B$8)^(1/12)+$B$10</f>
        <v/>
      </c>
      <c r="E698" s="15">
        <f>E697*(1+$B$9)^(1/12)</f>
        <v/>
      </c>
      <c r="F698" s="15">
        <f>D698+E698</f>
        <v/>
      </c>
      <c r="G698" s="15">
        <f>$B$6</f>
        <v/>
      </c>
      <c r="H698" s="15">
        <f>$B$7</f>
        <v/>
      </c>
      <c r="I698" s="22">
        <f>IF(AND(F698&gt;=G698,D698&gt;=H698),"FI reached","")</f>
        <v/>
      </c>
      <c r="J698" s="22">
        <f>IF(A698=720,"60-year model limit","")</f>
        <v/>
      </c>
    </row>
    <row r="699">
      <c r="A699" s="23" t="n">
        <v>683</v>
      </c>
      <c r="B699" s="24">
        <f>EDATE(TODAY(),A699)</f>
        <v/>
      </c>
      <c r="C699" s="25">
        <f>Inputs!$B$5+A699/12</f>
        <v/>
      </c>
      <c r="D699" s="15">
        <f>D698*(1+$B$8)^(1/12)+$B$10</f>
        <v/>
      </c>
      <c r="E699" s="15">
        <f>E698*(1+$B$9)^(1/12)</f>
        <v/>
      </c>
      <c r="F699" s="15">
        <f>D699+E699</f>
        <v/>
      </c>
      <c r="G699" s="15">
        <f>$B$6</f>
        <v/>
      </c>
      <c r="H699" s="15">
        <f>$B$7</f>
        <v/>
      </c>
      <c r="I699" s="22">
        <f>IF(AND(F699&gt;=G699,D699&gt;=H699),"FI reached","")</f>
        <v/>
      </c>
      <c r="J699" s="22">
        <f>IF(A699=720,"60-year model limit","")</f>
        <v/>
      </c>
    </row>
    <row r="700">
      <c r="A700" s="23" t="n">
        <v>684</v>
      </c>
      <c r="B700" s="24">
        <f>EDATE(TODAY(),A700)</f>
        <v/>
      </c>
      <c r="C700" s="25">
        <f>Inputs!$B$5+A700/12</f>
        <v/>
      </c>
      <c r="D700" s="15">
        <f>D699*(1+$B$8)^(1/12)+$B$10</f>
        <v/>
      </c>
      <c r="E700" s="15">
        <f>E699*(1+$B$9)^(1/12)</f>
        <v/>
      </c>
      <c r="F700" s="15">
        <f>D700+E700</f>
        <v/>
      </c>
      <c r="G700" s="15">
        <f>$B$6</f>
        <v/>
      </c>
      <c r="H700" s="15">
        <f>$B$7</f>
        <v/>
      </c>
      <c r="I700" s="22">
        <f>IF(AND(F700&gt;=G700,D700&gt;=H700),"FI reached","")</f>
        <v/>
      </c>
      <c r="J700" s="22">
        <f>IF(A700=720,"60-year model limit","")</f>
        <v/>
      </c>
    </row>
    <row r="701">
      <c r="A701" s="23" t="n">
        <v>685</v>
      </c>
      <c r="B701" s="24">
        <f>EDATE(TODAY(),A701)</f>
        <v/>
      </c>
      <c r="C701" s="25">
        <f>Inputs!$B$5+A701/12</f>
        <v/>
      </c>
      <c r="D701" s="15">
        <f>D700*(1+$B$8)^(1/12)+$B$10</f>
        <v/>
      </c>
      <c r="E701" s="15">
        <f>E700*(1+$B$9)^(1/12)</f>
        <v/>
      </c>
      <c r="F701" s="15">
        <f>D701+E701</f>
        <v/>
      </c>
      <c r="G701" s="15">
        <f>$B$6</f>
        <v/>
      </c>
      <c r="H701" s="15">
        <f>$B$7</f>
        <v/>
      </c>
      <c r="I701" s="22">
        <f>IF(AND(F701&gt;=G701,D701&gt;=H701),"FI reached","")</f>
        <v/>
      </c>
      <c r="J701" s="22">
        <f>IF(A701=720,"60-year model limit","")</f>
        <v/>
      </c>
    </row>
    <row r="702">
      <c r="A702" s="23" t="n">
        <v>686</v>
      </c>
      <c r="B702" s="24">
        <f>EDATE(TODAY(),A702)</f>
        <v/>
      </c>
      <c r="C702" s="25">
        <f>Inputs!$B$5+A702/12</f>
        <v/>
      </c>
      <c r="D702" s="15">
        <f>D701*(1+$B$8)^(1/12)+$B$10</f>
        <v/>
      </c>
      <c r="E702" s="15">
        <f>E701*(1+$B$9)^(1/12)</f>
        <v/>
      </c>
      <c r="F702" s="15">
        <f>D702+E702</f>
        <v/>
      </c>
      <c r="G702" s="15">
        <f>$B$6</f>
        <v/>
      </c>
      <c r="H702" s="15">
        <f>$B$7</f>
        <v/>
      </c>
      <c r="I702" s="22">
        <f>IF(AND(F702&gt;=G702,D702&gt;=H702),"FI reached","")</f>
        <v/>
      </c>
      <c r="J702" s="22">
        <f>IF(A702=720,"60-year model limit","")</f>
        <v/>
      </c>
    </row>
    <row r="703">
      <c r="A703" s="23" t="n">
        <v>687</v>
      </c>
      <c r="B703" s="24">
        <f>EDATE(TODAY(),A703)</f>
        <v/>
      </c>
      <c r="C703" s="25">
        <f>Inputs!$B$5+A703/12</f>
        <v/>
      </c>
      <c r="D703" s="15">
        <f>D702*(1+$B$8)^(1/12)+$B$10</f>
        <v/>
      </c>
      <c r="E703" s="15">
        <f>E702*(1+$B$9)^(1/12)</f>
        <v/>
      </c>
      <c r="F703" s="15">
        <f>D703+E703</f>
        <v/>
      </c>
      <c r="G703" s="15">
        <f>$B$6</f>
        <v/>
      </c>
      <c r="H703" s="15">
        <f>$B$7</f>
        <v/>
      </c>
      <c r="I703" s="22">
        <f>IF(AND(F703&gt;=G703,D703&gt;=H703),"FI reached","")</f>
        <v/>
      </c>
      <c r="J703" s="22">
        <f>IF(A703=720,"60-year model limit","")</f>
        <v/>
      </c>
    </row>
    <row r="704">
      <c r="A704" s="23" t="n">
        <v>688</v>
      </c>
      <c r="B704" s="24">
        <f>EDATE(TODAY(),A704)</f>
        <v/>
      </c>
      <c r="C704" s="25">
        <f>Inputs!$B$5+A704/12</f>
        <v/>
      </c>
      <c r="D704" s="15">
        <f>D703*(1+$B$8)^(1/12)+$B$10</f>
        <v/>
      </c>
      <c r="E704" s="15">
        <f>E703*(1+$B$9)^(1/12)</f>
        <v/>
      </c>
      <c r="F704" s="15">
        <f>D704+E704</f>
        <v/>
      </c>
      <c r="G704" s="15">
        <f>$B$6</f>
        <v/>
      </c>
      <c r="H704" s="15">
        <f>$B$7</f>
        <v/>
      </c>
      <c r="I704" s="22">
        <f>IF(AND(F704&gt;=G704,D704&gt;=H704),"FI reached","")</f>
        <v/>
      </c>
      <c r="J704" s="22">
        <f>IF(A704=720,"60-year model limit","")</f>
        <v/>
      </c>
    </row>
    <row r="705">
      <c r="A705" s="23" t="n">
        <v>689</v>
      </c>
      <c r="B705" s="24">
        <f>EDATE(TODAY(),A705)</f>
        <v/>
      </c>
      <c r="C705" s="25">
        <f>Inputs!$B$5+A705/12</f>
        <v/>
      </c>
      <c r="D705" s="15">
        <f>D704*(1+$B$8)^(1/12)+$B$10</f>
        <v/>
      </c>
      <c r="E705" s="15">
        <f>E704*(1+$B$9)^(1/12)</f>
        <v/>
      </c>
      <c r="F705" s="15">
        <f>D705+E705</f>
        <v/>
      </c>
      <c r="G705" s="15">
        <f>$B$6</f>
        <v/>
      </c>
      <c r="H705" s="15">
        <f>$B$7</f>
        <v/>
      </c>
      <c r="I705" s="22">
        <f>IF(AND(F705&gt;=G705,D705&gt;=H705),"FI reached","")</f>
        <v/>
      </c>
      <c r="J705" s="22">
        <f>IF(A705=720,"60-year model limit","")</f>
        <v/>
      </c>
    </row>
    <row r="706">
      <c r="A706" s="23" t="n">
        <v>690</v>
      </c>
      <c r="B706" s="24">
        <f>EDATE(TODAY(),A706)</f>
        <v/>
      </c>
      <c r="C706" s="25">
        <f>Inputs!$B$5+A706/12</f>
        <v/>
      </c>
      <c r="D706" s="15">
        <f>D705*(1+$B$8)^(1/12)+$B$10</f>
        <v/>
      </c>
      <c r="E706" s="15">
        <f>E705*(1+$B$9)^(1/12)</f>
        <v/>
      </c>
      <c r="F706" s="15">
        <f>D706+E706</f>
        <v/>
      </c>
      <c r="G706" s="15">
        <f>$B$6</f>
        <v/>
      </c>
      <c r="H706" s="15">
        <f>$B$7</f>
        <v/>
      </c>
      <c r="I706" s="22">
        <f>IF(AND(F706&gt;=G706,D706&gt;=H706),"FI reached","")</f>
        <v/>
      </c>
      <c r="J706" s="22">
        <f>IF(A706=720,"60-year model limit","")</f>
        <v/>
      </c>
    </row>
    <row r="707">
      <c r="A707" s="23" t="n">
        <v>691</v>
      </c>
      <c r="B707" s="24">
        <f>EDATE(TODAY(),A707)</f>
        <v/>
      </c>
      <c r="C707" s="25">
        <f>Inputs!$B$5+A707/12</f>
        <v/>
      </c>
      <c r="D707" s="15">
        <f>D706*(1+$B$8)^(1/12)+$B$10</f>
        <v/>
      </c>
      <c r="E707" s="15">
        <f>E706*(1+$B$9)^(1/12)</f>
        <v/>
      </c>
      <c r="F707" s="15">
        <f>D707+E707</f>
        <v/>
      </c>
      <c r="G707" s="15">
        <f>$B$6</f>
        <v/>
      </c>
      <c r="H707" s="15">
        <f>$B$7</f>
        <v/>
      </c>
      <c r="I707" s="22">
        <f>IF(AND(F707&gt;=G707,D707&gt;=H707),"FI reached","")</f>
        <v/>
      </c>
      <c r="J707" s="22">
        <f>IF(A707=720,"60-year model limit","")</f>
        <v/>
      </c>
    </row>
    <row r="708">
      <c r="A708" s="23" t="n">
        <v>692</v>
      </c>
      <c r="B708" s="24">
        <f>EDATE(TODAY(),A708)</f>
        <v/>
      </c>
      <c r="C708" s="25">
        <f>Inputs!$B$5+A708/12</f>
        <v/>
      </c>
      <c r="D708" s="15">
        <f>D707*(1+$B$8)^(1/12)+$B$10</f>
        <v/>
      </c>
      <c r="E708" s="15">
        <f>E707*(1+$B$9)^(1/12)</f>
        <v/>
      </c>
      <c r="F708" s="15">
        <f>D708+E708</f>
        <v/>
      </c>
      <c r="G708" s="15">
        <f>$B$6</f>
        <v/>
      </c>
      <c r="H708" s="15">
        <f>$B$7</f>
        <v/>
      </c>
      <c r="I708" s="22">
        <f>IF(AND(F708&gt;=G708,D708&gt;=H708),"FI reached","")</f>
        <v/>
      </c>
      <c r="J708" s="22">
        <f>IF(A708=720,"60-year model limit","")</f>
        <v/>
      </c>
    </row>
    <row r="709">
      <c r="A709" s="23" t="n">
        <v>693</v>
      </c>
      <c r="B709" s="24">
        <f>EDATE(TODAY(),A709)</f>
        <v/>
      </c>
      <c r="C709" s="25">
        <f>Inputs!$B$5+A709/12</f>
        <v/>
      </c>
      <c r="D709" s="15">
        <f>D708*(1+$B$8)^(1/12)+$B$10</f>
        <v/>
      </c>
      <c r="E709" s="15">
        <f>E708*(1+$B$9)^(1/12)</f>
        <v/>
      </c>
      <c r="F709" s="15">
        <f>D709+E709</f>
        <v/>
      </c>
      <c r="G709" s="15">
        <f>$B$6</f>
        <v/>
      </c>
      <c r="H709" s="15">
        <f>$B$7</f>
        <v/>
      </c>
      <c r="I709" s="22">
        <f>IF(AND(F709&gt;=G709,D709&gt;=H709),"FI reached","")</f>
        <v/>
      </c>
      <c r="J709" s="22">
        <f>IF(A709=720,"60-year model limit","")</f>
        <v/>
      </c>
    </row>
    <row r="710">
      <c r="A710" s="23" t="n">
        <v>694</v>
      </c>
      <c r="B710" s="24">
        <f>EDATE(TODAY(),A710)</f>
        <v/>
      </c>
      <c r="C710" s="25">
        <f>Inputs!$B$5+A710/12</f>
        <v/>
      </c>
      <c r="D710" s="15">
        <f>D709*(1+$B$8)^(1/12)+$B$10</f>
        <v/>
      </c>
      <c r="E710" s="15">
        <f>E709*(1+$B$9)^(1/12)</f>
        <v/>
      </c>
      <c r="F710" s="15">
        <f>D710+E710</f>
        <v/>
      </c>
      <c r="G710" s="15">
        <f>$B$6</f>
        <v/>
      </c>
      <c r="H710" s="15">
        <f>$B$7</f>
        <v/>
      </c>
      <c r="I710" s="22">
        <f>IF(AND(F710&gt;=G710,D710&gt;=H710),"FI reached","")</f>
        <v/>
      </c>
      <c r="J710" s="22">
        <f>IF(A710=720,"60-year model limit","")</f>
        <v/>
      </c>
    </row>
    <row r="711">
      <c r="A711" s="23" t="n">
        <v>695</v>
      </c>
      <c r="B711" s="24">
        <f>EDATE(TODAY(),A711)</f>
        <v/>
      </c>
      <c r="C711" s="25">
        <f>Inputs!$B$5+A711/12</f>
        <v/>
      </c>
      <c r="D711" s="15">
        <f>D710*(1+$B$8)^(1/12)+$B$10</f>
        <v/>
      </c>
      <c r="E711" s="15">
        <f>E710*(1+$B$9)^(1/12)</f>
        <v/>
      </c>
      <c r="F711" s="15">
        <f>D711+E711</f>
        <v/>
      </c>
      <c r="G711" s="15">
        <f>$B$6</f>
        <v/>
      </c>
      <c r="H711" s="15">
        <f>$B$7</f>
        <v/>
      </c>
      <c r="I711" s="22">
        <f>IF(AND(F711&gt;=G711,D711&gt;=H711),"FI reached","")</f>
        <v/>
      </c>
      <c r="J711" s="22">
        <f>IF(A711=720,"60-year model limit","")</f>
        <v/>
      </c>
    </row>
    <row r="712">
      <c r="A712" s="23" t="n">
        <v>696</v>
      </c>
      <c r="B712" s="24">
        <f>EDATE(TODAY(),A712)</f>
        <v/>
      </c>
      <c r="C712" s="25">
        <f>Inputs!$B$5+A712/12</f>
        <v/>
      </c>
      <c r="D712" s="15">
        <f>D711*(1+$B$8)^(1/12)+$B$10</f>
        <v/>
      </c>
      <c r="E712" s="15">
        <f>E711*(1+$B$9)^(1/12)</f>
        <v/>
      </c>
      <c r="F712" s="15">
        <f>D712+E712</f>
        <v/>
      </c>
      <c r="G712" s="15">
        <f>$B$6</f>
        <v/>
      </c>
      <c r="H712" s="15">
        <f>$B$7</f>
        <v/>
      </c>
      <c r="I712" s="22">
        <f>IF(AND(F712&gt;=G712,D712&gt;=H712),"FI reached","")</f>
        <v/>
      </c>
      <c r="J712" s="22">
        <f>IF(A712=720,"60-year model limit","")</f>
        <v/>
      </c>
    </row>
    <row r="713">
      <c r="A713" s="23" t="n">
        <v>697</v>
      </c>
      <c r="B713" s="24">
        <f>EDATE(TODAY(),A713)</f>
        <v/>
      </c>
      <c r="C713" s="25">
        <f>Inputs!$B$5+A713/12</f>
        <v/>
      </c>
      <c r="D713" s="15">
        <f>D712*(1+$B$8)^(1/12)+$B$10</f>
        <v/>
      </c>
      <c r="E713" s="15">
        <f>E712*(1+$B$9)^(1/12)</f>
        <v/>
      </c>
      <c r="F713" s="15">
        <f>D713+E713</f>
        <v/>
      </c>
      <c r="G713" s="15">
        <f>$B$6</f>
        <v/>
      </c>
      <c r="H713" s="15">
        <f>$B$7</f>
        <v/>
      </c>
      <c r="I713" s="22">
        <f>IF(AND(F713&gt;=G713,D713&gt;=H713),"FI reached","")</f>
        <v/>
      </c>
      <c r="J713" s="22">
        <f>IF(A713=720,"60-year model limit","")</f>
        <v/>
      </c>
    </row>
    <row r="714">
      <c r="A714" s="23" t="n">
        <v>698</v>
      </c>
      <c r="B714" s="24">
        <f>EDATE(TODAY(),A714)</f>
        <v/>
      </c>
      <c r="C714" s="25">
        <f>Inputs!$B$5+A714/12</f>
        <v/>
      </c>
      <c r="D714" s="15">
        <f>D713*(1+$B$8)^(1/12)+$B$10</f>
        <v/>
      </c>
      <c r="E714" s="15">
        <f>E713*(1+$B$9)^(1/12)</f>
        <v/>
      </c>
      <c r="F714" s="15">
        <f>D714+E714</f>
        <v/>
      </c>
      <c r="G714" s="15">
        <f>$B$6</f>
        <v/>
      </c>
      <c r="H714" s="15">
        <f>$B$7</f>
        <v/>
      </c>
      <c r="I714" s="22">
        <f>IF(AND(F714&gt;=G714,D714&gt;=H714),"FI reached","")</f>
        <v/>
      </c>
      <c r="J714" s="22">
        <f>IF(A714=720,"60-year model limit","")</f>
        <v/>
      </c>
    </row>
    <row r="715">
      <c r="A715" s="23" t="n">
        <v>699</v>
      </c>
      <c r="B715" s="24">
        <f>EDATE(TODAY(),A715)</f>
        <v/>
      </c>
      <c r="C715" s="25">
        <f>Inputs!$B$5+A715/12</f>
        <v/>
      </c>
      <c r="D715" s="15">
        <f>D714*(1+$B$8)^(1/12)+$B$10</f>
        <v/>
      </c>
      <c r="E715" s="15">
        <f>E714*(1+$B$9)^(1/12)</f>
        <v/>
      </c>
      <c r="F715" s="15">
        <f>D715+E715</f>
        <v/>
      </c>
      <c r="G715" s="15">
        <f>$B$6</f>
        <v/>
      </c>
      <c r="H715" s="15">
        <f>$B$7</f>
        <v/>
      </c>
      <c r="I715" s="22">
        <f>IF(AND(F715&gt;=G715,D715&gt;=H715),"FI reached","")</f>
        <v/>
      </c>
      <c r="J715" s="22">
        <f>IF(A715=720,"60-year model limit","")</f>
        <v/>
      </c>
    </row>
    <row r="716">
      <c r="A716" s="23" t="n">
        <v>700</v>
      </c>
      <c r="B716" s="24">
        <f>EDATE(TODAY(),A716)</f>
        <v/>
      </c>
      <c r="C716" s="25">
        <f>Inputs!$B$5+A716/12</f>
        <v/>
      </c>
      <c r="D716" s="15">
        <f>D715*(1+$B$8)^(1/12)+$B$10</f>
        <v/>
      </c>
      <c r="E716" s="15">
        <f>E715*(1+$B$9)^(1/12)</f>
        <v/>
      </c>
      <c r="F716" s="15">
        <f>D716+E716</f>
        <v/>
      </c>
      <c r="G716" s="15">
        <f>$B$6</f>
        <v/>
      </c>
      <c r="H716" s="15">
        <f>$B$7</f>
        <v/>
      </c>
      <c r="I716" s="22">
        <f>IF(AND(F716&gt;=G716,D716&gt;=H716),"FI reached","")</f>
        <v/>
      </c>
      <c r="J716" s="22">
        <f>IF(A716=720,"60-year model limit","")</f>
        <v/>
      </c>
    </row>
    <row r="717">
      <c r="A717" s="23" t="n">
        <v>701</v>
      </c>
      <c r="B717" s="24">
        <f>EDATE(TODAY(),A717)</f>
        <v/>
      </c>
      <c r="C717" s="25">
        <f>Inputs!$B$5+A717/12</f>
        <v/>
      </c>
      <c r="D717" s="15">
        <f>D716*(1+$B$8)^(1/12)+$B$10</f>
        <v/>
      </c>
      <c r="E717" s="15">
        <f>E716*(1+$B$9)^(1/12)</f>
        <v/>
      </c>
      <c r="F717" s="15">
        <f>D717+E717</f>
        <v/>
      </c>
      <c r="G717" s="15">
        <f>$B$6</f>
        <v/>
      </c>
      <c r="H717" s="15">
        <f>$B$7</f>
        <v/>
      </c>
      <c r="I717" s="22">
        <f>IF(AND(F717&gt;=G717,D717&gt;=H717),"FI reached","")</f>
        <v/>
      </c>
      <c r="J717" s="22">
        <f>IF(A717=720,"60-year model limit","")</f>
        <v/>
      </c>
    </row>
    <row r="718">
      <c r="A718" s="23" t="n">
        <v>702</v>
      </c>
      <c r="B718" s="24">
        <f>EDATE(TODAY(),A718)</f>
        <v/>
      </c>
      <c r="C718" s="25">
        <f>Inputs!$B$5+A718/12</f>
        <v/>
      </c>
      <c r="D718" s="15">
        <f>D717*(1+$B$8)^(1/12)+$B$10</f>
        <v/>
      </c>
      <c r="E718" s="15">
        <f>E717*(1+$B$9)^(1/12)</f>
        <v/>
      </c>
      <c r="F718" s="15">
        <f>D718+E718</f>
        <v/>
      </c>
      <c r="G718" s="15">
        <f>$B$6</f>
        <v/>
      </c>
      <c r="H718" s="15">
        <f>$B$7</f>
        <v/>
      </c>
      <c r="I718" s="22">
        <f>IF(AND(F718&gt;=G718,D718&gt;=H718),"FI reached","")</f>
        <v/>
      </c>
      <c r="J718" s="22">
        <f>IF(A718=720,"60-year model limit","")</f>
        <v/>
      </c>
    </row>
    <row r="719">
      <c r="A719" s="23" t="n">
        <v>703</v>
      </c>
      <c r="B719" s="24">
        <f>EDATE(TODAY(),A719)</f>
        <v/>
      </c>
      <c r="C719" s="25">
        <f>Inputs!$B$5+A719/12</f>
        <v/>
      </c>
      <c r="D719" s="15">
        <f>D718*(1+$B$8)^(1/12)+$B$10</f>
        <v/>
      </c>
      <c r="E719" s="15">
        <f>E718*(1+$B$9)^(1/12)</f>
        <v/>
      </c>
      <c r="F719" s="15">
        <f>D719+E719</f>
        <v/>
      </c>
      <c r="G719" s="15">
        <f>$B$6</f>
        <v/>
      </c>
      <c r="H719" s="15">
        <f>$B$7</f>
        <v/>
      </c>
      <c r="I719" s="22">
        <f>IF(AND(F719&gt;=G719,D719&gt;=H719),"FI reached","")</f>
        <v/>
      </c>
      <c r="J719" s="22">
        <f>IF(A719=720,"60-year model limit","")</f>
        <v/>
      </c>
    </row>
    <row r="720">
      <c r="A720" s="23" t="n">
        <v>704</v>
      </c>
      <c r="B720" s="24">
        <f>EDATE(TODAY(),A720)</f>
        <v/>
      </c>
      <c r="C720" s="25">
        <f>Inputs!$B$5+A720/12</f>
        <v/>
      </c>
      <c r="D720" s="15">
        <f>D719*(1+$B$8)^(1/12)+$B$10</f>
        <v/>
      </c>
      <c r="E720" s="15">
        <f>E719*(1+$B$9)^(1/12)</f>
        <v/>
      </c>
      <c r="F720" s="15">
        <f>D720+E720</f>
        <v/>
      </c>
      <c r="G720" s="15">
        <f>$B$6</f>
        <v/>
      </c>
      <c r="H720" s="15">
        <f>$B$7</f>
        <v/>
      </c>
      <c r="I720" s="22">
        <f>IF(AND(F720&gt;=G720,D720&gt;=H720),"FI reached","")</f>
        <v/>
      </c>
      <c r="J720" s="22">
        <f>IF(A720=720,"60-year model limit","")</f>
        <v/>
      </c>
    </row>
    <row r="721">
      <c r="A721" s="23" t="n">
        <v>705</v>
      </c>
      <c r="B721" s="24">
        <f>EDATE(TODAY(),A721)</f>
        <v/>
      </c>
      <c r="C721" s="25">
        <f>Inputs!$B$5+A721/12</f>
        <v/>
      </c>
      <c r="D721" s="15">
        <f>D720*(1+$B$8)^(1/12)+$B$10</f>
        <v/>
      </c>
      <c r="E721" s="15">
        <f>E720*(1+$B$9)^(1/12)</f>
        <v/>
      </c>
      <c r="F721" s="15">
        <f>D721+E721</f>
        <v/>
      </c>
      <c r="G721" s="15">
        <f>$B$6</f>
        <v/>
      </c>
      <c r="H721" s="15">
        <f>$B$7</f>
        <v/>
      </c>
      <c r="I721" s="22">
        <f>IF(AND(F721&gt;=G721,D721&gt;=H721),"FI reached","")</f>
        <v/>
      </c>
      <c r="J721" s="22">
        <f>IF(A721=720,"60-year model limit","")</f>
        <v/>
      </c>
    </row>
    <row r="722">
      <c r="A722" s="23" t="n">
        <v>706</v>
      </c>
      <c r="B722" s="24">
        <f>EDATE(TODAY(),A722)</f>
        <v/>
      </c>
      <c r="C722" s="25">
        <f>Inputs!$B$5+A722/12</f>
        <v/>
      </c>
      <c r="D722" s="15">
        <f>D721*(1+$B$8)^(1/12)+$B$10</f>
        <v/>
      </c>
      <c r="E722" s="15">
        <f>E721*(1+$B$9)^(1/12)</f>
        <v/>
      </c>
      <c r="F722" s="15">
        <f>D722+E722</f>
        <v/>
      </c>
      <c r="G722" s="15">
        <f>$B$6</f>
        <v/>
      </c>
      <c r="H722" s="15">
        <f>$B$7</f>
        <v/>
      </c>
      <c r="I722" s="22">
        <f>IF(AND(F722&gt;=G722,D722&gt;=H722),"FI reached","")</f>
        <v/>
      </c>
      <c r="J722" s="22">
        <f>IF(A722=720,"60-year model limit","")</f>
        <v/>
      </c>
    </row>
    <row r="723">
      <c r="A723" s="23" t="n">
        <v>707</v>
      </c>
      <c r="B723" s="24">
        <f>EDATE(TODAY(),A723)</f>
        <v/>
      </c>
      <c r="C723" s="25">
        <f>Inputs!$B$5+A723/12</f>
        <v/>
      </c>
      <c r="D723" s="15">
        <f>D722*(1+$B$8)^(1/12)+$B$10</f>
        <v/>
      </c>
      <c r="E723" s="15">
        <f>E722*(1+$B$9)^(1/12)</f>
        <v/>
      </c>
      <c r="F723" s="15">
        <f>D723+E723</f>
        <v/>
      </c>
      <c r="G723" s="15">
        <f>$B$6</f>
        <v/>
      </c>
      <c r="H723" s="15">
        <f>$B$7</f>
        <v/>
      </c>
      <c r="I723" s="22">
        <f>IF(AND(F723&gt;=G723,D723&gt;=H723),"FI reached","")</f>
        <v/>
      </c>
      <c r="J723" s="22">
        <f>IF(A723=720,"60-year model limit","")</f>
        <v/>
      </c>
    </row>
    <row r="724">
      <c r="A724" s="23" t="n">
        <v>708</v>
      </c>
      <c r="B724" s="24">
        <f>EDATE(TODAY(),A724)</f>
        <v/>
      </c>
      <c r="C724" s="25">
        <f>Inputs!$B$5+A724/12</f>
        <v/>
      </c>
      <c r="D724" s="15">
        <f>D723*(1+$B$8)^(1/12)+$B$10</f>
        <v/>
      </c>
      <c r="E724" s="15">
        <f>E723*(1+$B$9)^(1/12)</f>
        <v/>
      </c>
      <c r="F724" s="15">
        <f>D724+E724</f>
        <v/>
      </c>
      <c r="G724" s="15">
        <f>$B$6</f>
        <v/>
      </c>
      <c r="H724" s="15">
        <f>$B$7</f>
        <v/>
      </c>
      <c r="I724" s="22">
        <f>IF(AND(F724&gt;=G724,D724&gt;=H724),"FI reached","")</f>
        <v/>
      </c>
      <c r="J724" s="22">
        <f>IF(A724=720,"60-year model limit","")</f>
        <v/>
      </c>
    </row>
    <row r="725">
      <c r="A725" s="23" t="n">
        <v>709</v>
      </c>
      <c r="B725" s="24">
        <f>EDATE(TODAY(),A725)</f>
        <v/>
      </c>
      <c r="C725" s="25">
        <f>Inputs!$B$5+A725/12</f>
        <v/>
      </c>
      <c r="D725" s="15">
        <f>D724*(1+$B$8)^(1/12)+$B$10</f>
        <v/>
      </c>
      <c r="E725" s="15">
        <f>E724*(1+$B$9)^(1/12)</f>
        <v/>
      </c>
      <c r="F725" s="15">
        <f>D725+E725</f>
        <v/>
      </c>
      <c r="G725" s="15">
        <f>$B$6</f>
        <v/>
      </c>
      <c r="H725" s="15">
        <f>$B$7</f>
        <v/>
      </c>
      <c r="I725" s="22">
        <f>IF(AND(F725&gt;=G725,D725&gt;=H725),"FI reached","")</f>
        <v/>
      </c>
      <c r="J725" s="22">
        <f>IF(A725=720,"60-year model limit","")</f>
        <v/>
      </c>
    </row>
    <row r="726">
      <c r="A726" s="23" t="n">
        <v>710</v>
      </c>
      <c r="B726" s="24">
        <f>EDATE(TODAY(),A726)</f>
        <v/>
      </c>
      <c r="C726" s="25">
        <f>Inputs!$B$5+A726/12</f>
        <v/>
      </c>
      <c r="D726" s="15">
        <f>D725*(1+$B$8)^(1/12)+$B$10</f>
        <v/>
      </c>
      <c r="E726" s="15">
        <f>E725*(1+$B$9)^(1/12)</f>
        <v/>
      </c>
      <c r="F726" s="15">
        <f>D726+E726</f>
        <v/>
      </c>
      <c r="G726" s="15">
        <f>$B$6</f>
        <v/>
      </c>
      <c r="H726" s="15">
        <f>$B$7</f>
        <v/>
      </c>
      <c r="I726" s="22">
        <f>IF(AND(F726&gt;=G726,D726&gt;=H726),"FI reached","")</f>
        <v/>
      </c>
      <c r="J726" s="22">
        <f>IF(A726=720,"60-year model limit","")</f>
        <v/>
      </c>
    </row>
    <row r="727">
      <c r="A727" s="23" t="n">
        <v>711</v>
      </c>
      <c r="B727" s="24">
        <f>EDATE(TODAY(),A727)</f>
        <v/>
      </c>
      <c r="C727" s="25">
        <f>Inputs!$B$5+A727/12</f>
        <v/>
      </c>
      <c r="D727" s="15">
        <f>D726*(1+$B$8)^(1/12)+$B$10</f>
        <v/>
      </c>
      <c r="E727" s="15">
        <f>E726*(1+$B$9)^(1/12)</f>
        <v/>
      </c>
      <c r="F727" s="15">
        <f>D727+E727</f>
        <v/>
      </c>
      <c r="G727" s="15">
        <f>$B$6</f>
        <v/>
      </c>
      <c r="H727" s="15">
        <f>$B$7</f>
        <v/>
      </c>
      <c r="I727" s="22">
        <f>IF(AND(F727&gt;=G727,D727&gt;=H727),"FI reached","")</f>
        <v/>
      </c>
      <c r="J727" s="22">
        <f>IF(A727=720,"60-year model limit","")</f>
        <v/>
      </c>
    </row>
    <row r="728">
      <c r="A728" s="23" t="n">
        <v>712</v>
      </c>
      <c r="B728" s="24">
        <f>EDATE(TODAY(),A728)</f>
        <v/>
      </c>
      <c r="C728" s="25">
        <f>Inputs!$B$5+A728/12</f>
        <v/>
      </c>
      <c r="D728" s="15">
        <f>D727*(1+$B$8)^(1/12)+$B$10</f>
        <v/>
      </c>
      <c r="E728" s="15">
        <f>E727*(1+$B$9)^(1/12)</f>
        <v/>
      </c>
      <c r="F728" s="15">
        <f>D728+E728</f>
        <v/>
      </c>
      <c r="G728" s="15">
        <f>$B$6</f>
        <v/>
      </c>
      <c r="H728" s="15">
        <f>$B$7</f>
        <v/>
      </c>
      <c r="I728" s="22">
        <f>IF(AND(F728&gt;=G728,D728&gt;=H728),"FI reached","")</f>
        <v/>
      </c>
      <c r="J728" s="22">
        <f>IF(A728=720,"60-year model limit","")</f>
        <v/>
      </c>
    </row>
    <row r="729">
      <c r="A729" s="23" t="n">
        <v>713</v>
      </c>
      <c r="B729" s="24">
        <f>EDATE(TODAY(),A729)</f>
        <v/>
      </c>
      <c r="C729" s="25">
        <f>Inputs!$B$5+A729/12</f>
        <v/>
      </c>
      <c r="D729" s="15">
        <f>D728*(1+$B$8)^(1/12)+$B$10</f>
        <v/>
      </c>
      <c r="E729" s="15">
        <f>E728*(1+$B$9)^(1/12)</f>
        <v/>
      </c>
      <c r="F729" s="15">
        <f>D729+E729</f>
        <v/>
      </c>
      <c r="G729" s="15">
        <f>$B$6</f>
        <v/>
      </c>
      <c r="H729" s="15">
        <f>$B$7</f>
        <v/>
      </c>
      <c r="I729" s="22">
        <f>IF(AND(F729&gt;=G729,D729&gt;=H729),"FI reached","")</f>
        <v/>
      </c>
      <c r="J729" s="22">
        <f>IF(A729=720,"60-year model limit","")</f>
        <v/>
      </c>
    </row>
    <row r="730">
      <c r="A730" s="23" t="n">
        <v>714</v>
      </c>
      <c r="B730" s="24">
        <f>EDATE(TODAY(),A730)</f>
        <v/>
      </c>
      <c r="C730" s="25">
        <f>Inputs!$B$5+A730/12</f>
        <v/>
      </c>
      <c r="D730" s="15">
        <f>D729*(1+$B$8)^(1/12)+$B$10</f>
        <v/>
      </c>
      <c r="E730" s="15">
        <f>E729*(1+$B$9)^(1/12)</f>
        <v/>
      </c>
      <c r="F730" s="15">
        <f>D730+E730</f>
        <v/>
      </c>
      <c r="G730" s="15">
        <f>$B$6</f>
        <v/>
      </c>
      <c r="H730" s="15">
        <f>$B$7</f>
        <v/>
      </c>
      <c r="I730" s="22">
        <f>IF(AND(F730&gt;=G730,D730&gt;=H730),"FI reached","")</f>
        <v/>
      </c>
      <c r="J730" s="22">
        <f>IF(A730=720,"60-year model limit","")</f>
        <v/>
      </c>
    </row>
    <row r="731">
      <c r="A731" s="23" t="n">
        <v>715</v>
      </c>
      <c r="B731" s="24">
        <f>EDATE(TODAY(),A731)</f>
        <v/>
      </c>
      <c r="C731" s="25">
        <f>Inputs!$B$5+A731/12</f>
        <v/>
      </c>
      <c r="D731" s="15">
        <f>D730*(1+$B$8)^(1/12)+$B$10</f>
        <v/>
      </c>
      <c r="E731" s="15">
        <f>E730*(1+$B$9)^(1/12)</f>
        <v/>
      </c>
      <c r="F731" s="15">
        <f>D731+E731</f>
        <v/>
      </c>
      <c r="G731" s="15">
        <f>$B$6</f>
        <v/>
      </c>
      <c r="H731" s="15">
        <f>$B$7</f>
        <v/>
      </c>
      <c r="I731" s="22">
        <f>IF(AND(F731&gt;=G731,D731&gt;=H731),"FI reached","")</f>
        <v/>
      </c>
      <c r="J731" s="22">
        <f>IF(A731=720,"60-year model limit","")</f>
        <v/>
      </c>
    </row>
    <row r="732">
      <c r="A732" s="23" t="n">
        <v>716</v>
      </c>
      <c r="B732" s="24">
        <f>EDATE(TODAY(),A732)</f>
        <v/>
      </c>
      <c r="C732" s="25">
        <f>Inputs!$B$5+A732/12</f>
        <v/>
      </c>
      <c r="D732" s="15">
        <f>D731*(1+$B$8)^(1/12)+$B$10</f>
        <v/>
      </c>
      <c r="E732" s="15">
        <f>E731*(1+$B$9)^(1/12)</f>
        <v/>
      </c>
      <c r="F732" s="15">
        <f>D732+E732</f>
        <v/>
      </c>
      <c r="G732" s="15">
        <f>$B$6</f>
        <v/>
      </c>
      <c r="H732" s="15">
        <f>$B$7</f>
        <v/>
      </c>
      <c r="I732" s="22">
        <f>IF(AND(F732&gt;=G732,D732&gt;=H732),"FI reached","")</f>
        <v/>
      </c>
      <c r="J732" s="22">
        <f>IF(A732=720,"60-year model limit","")</f>
        <v/>
      </c>
    </row>
    <row r="733">
      <c r="A733" s="23" t="n">
        <v>717</v>
      </c>
      <c r="B733" s="24">
        <f>EDATE(TODAY(),A733)</f>
        <v/>
      </c>
      <c r="C733" s="25">
        <f>Inputs!$B$5+A733/12</f>
        <v/>
      </c>
      <c r="D733" s="15">
        <f>D732*(1+$B$8)^(1/12)+$B$10</f>
        <v/>
      </c>
      <c r="E733" s="15">
        <f>E732*(1+$B$9)^(1/12)</f>
        <v/>
      </c>
      <c r="F733" s="15">
        <f>D733+E733</f>
        <v/>
      </c>
      <c r="G733" s="15">
        <f>$B$6</f>
        <v/>
      </c>
      <c r="H733" s="15">
        <f>$B$7</f>
        <v/>
      </c>
      <c r="I733" s="22">
        <f>IF(AND(F733&gt;=G733,D733&gt;=H733),"FI reached","")</f>
        <v/>
      </c>
      <c r="J733" s="22">
        <f>IF(A733=720,"60-year model limit","")</f>
        <v/>
      </c>
    </row>
    <row r="734">
      <c r="A734" s="23" t="n">
        <v>718</v>
      </c>
      <c r="B734" s="24">
        <f>EDATE(TODAY(),A734)</f>
        <v/>
      </c>
      <c r="C734" s="25">
        <f>Inputs!$B$5+A734/12</f>
        <v/>
      </c>
      <c r="D734" s="15">
        <f>D733*(1+$B$8)^(1/12)+$B$10</f>
        <v/>
      </c>
      <c r="E734" s="15">
        <f>E733*(1+$B$9)^(1/12)</f>
        <v/>
      </c>
      <c r="F734" s="15">
        <f>D734+E734</f>
        <v/>
      </c>
      <c r="G734" s="15">
        <f>$B$6</f>
        <v/>
      </c>
      <c r="H734" s="15">
        <f>$B$7</f>
        <v/>
      </c>
      <c r="I734" s="22">
        <f>IF(AND(F734&gt;=G734,D734&gt;=H734),"FI reached","")</f>
        <v/>
      </c>
      <c r="J734" s="22">
        <f>IF(A734=720,"60-year model limit","")</f>
        <v/>
      </c>
    </row>
    <row r="735">
      <c r="A735" s="23" t="n">
        <v>719</v>
      </c>
      <c r="B735" s="24">
        <f>EDATE(TODAY(),A735)</f>
        <v/>
      </c>
      <c r="C735" s="25">
        <f>Inputs!$B$5+A735/12</f>
        <v/>
      </c>
      <c r="D735" s="15">
        <f>D734*(1+$B$8)^(1/12)+$B$10</f>
        <v/>
      </c>
      <c r="E735" s="15">
        <f>E734*(1+$B$9)^(1/12)</f>
        <v/>
      </c>
      <c r="F735" s="15">
        <f>D735+E735</f>
        <v/>
      </c>
      <c r="G735" s="15">
        <f>$B$6</f>
        <v/>
      </c>
      <c r="H735" s="15">
        <f>$B$7</f>
        <v/>
      </c>
      <c r="I735" s="22">
        <f>IF(AND(F735&gt;=G735,D735&gt;=H735),"FI reached","")</f>
        <v/>
      </c>
      <c r="J735" s="22">
        <f>IF(A735=720,"60-year model limit","")</f>
        <v/>
      </c>
    </row>
    <row r="736">
      <c r="A736" s="23" t="n">
        <v>720</v>
      </c>
      <c r="B736" s="24">
        <f>EDATE(TODAY(),A736)</f>
        <v/>
      </c>
      <c r="C736" s="25">
        <f>Inputs!$B$5+A736/12</f>
        <v/>
      </c>
      <c r="D736" s="15">
        <f>D735*(1+$B$8)^(1/12)+$B$10</f>
        <v/>
      </c>
      <c r="E736" s="15">
        <f>E735*(1+$B$9)^(1/12)</f>
        <v/>
      </c>
      <c r="F736" s="15">
        <f>D736+E736</f>
        <v/>
      </c>
      <c r="G736" s="15">
        <f>$B$6</f>
        <v/>
      </c>
      <c r="H736" s="15">
        <f>$B$7</f>
        <v/>
      </c>
      <c r="I736" s="22">
        <f>IF(AND(F736&gt;=G736,D736&gt;=H736),"FI reached","")</f>
        <v/>
      </c>
      <c r="J736" s="22">
        <f>IF(A736=720,"60-year model limit","")</f>
        <v/>
      </c>
    </row>
  </sheetData>
  <mergeCells count="3">
    <mergeCell ref="A2:K2"/>
    <mergeCell ref="A1:K1"/>
    <mergeCell ref="A4:K4"/>
  </mergeCells>
  <conditionalFormatting sqref="I16:I736">
    <cfRule type="cellIs" priority="1" operator="equal" dxfId="1">
      <formula>"FI reached"</formula>
    </cfRule>
  </conditionalFormatting>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H25"/>
  <sheetViews>
    <sheetView showGridLines="0" workbookViewId="0">
      <pane ySplit="4" topLeftCell="A5" activePane="bottomLeft" state="frozen"/>
      <selection pane="bottomLeft" activeCell="A1" sqref="A1"/>
    </sheetView>
  </sheetViews>
  <sheetFormatPr baseColWidth="8" defaultRowHeight="15"/>
  <cols>
    <col width="38" customWidth="1" min="1" max="1"/>
    <col width="24" customWidth="1" min="2" max="2"/>
    <col width="4" customWidth="1" min="3" max="3"/>
    <col width="16" customWidth="1" min="4" max="4"/>
    <col width="16" customWidth="1" min="5" max="5"/>
    <col width="16" customWidth="1" min="6" max="6"/>
    <col width="16" customWidth="1" min="7" max="7"/>
    <col width="16" customWidth="1" min="8" max="8"/>
  </cols>
  <sheetData>
    <row r="1" ht="32" customHeight="1">
      <c r="A1" s="1" t="inlineStr">
        <is>
          <t>FI Dashboard</t>
        </is>
      </c>
    </row>
    <row r="2" ht="28" customHeight="1">
      <c r="A2" s="2" t="inlineStr">
        <is>
          <t>Live formula summary. Change yellow cells on Inputs and Plans; then choose the active plan on Inputs to test its monthly projection.</t>
        </is>
      </c>
    </row>
    <row r="4" ht="21" customHeight="1">
      <c r="A4" s="3" t="inlineStr">
        <is>
          <t>Selected plan summary</t>
        </is>
      </c>
    </row>
    <row r="5">
      <c r="A5" s="26">
        <f>Inputs!$B$10</f>
        <v/>
      </c>
    </row>
    <row r="7">
      <c r="A7" s="7" t="inlineStr">
        <is>
          <t>Annual debt-free retirement spending</t>
        </is>
      </c>
      <c r="B7" s="15">
        <f>INDEX(Plans!$B$5:$B$7,MATCH(Inputs!$B$10,Plans!$A$5:$A$7,0))</f>
        <v/>
      </c>
    </row>
    <row r="8">
      <c r="A8" s="7" t="inlineStr">
        <is>
          <t>Annual flexible-work income</t>
        </is>
      </c>
      <c r="B8" s="15">
        <f>INDEX(Plans!$C$5:$C$7,MATCH(Inputs!$B$10,Plans!$A$5:$A$7,0))</f>
        <v/>
      </c>
    </row>
    <row r="9">
      <c r="A9" s="7" t="inlineStr">
        <is>
          <t>Net annual spending</t>
        </is>
      </c>
      <c r="B9" s="15">
        <f>INDEX(Plans!$D$5:$D$7,MATCH(Inputs!$B$10,Plans!$A$5:$A$7,0))</f>
        <v/>
      </c>
    </row>
    <row r="10">
      <c r="A10" s="7" t="inlineStr">
        <is>
          <t>FI lifestyle capital</t>
        </is>
      </c>
      <c r="B10" s="15">
        <f>INDEX(Plans!$E$5:$E$7,MATCH(Inputs!$B$10,Plans!$A$5:$A$7,0))</f>
        <v/>
      </c>
    </row>
    <row r="11">
      <c r="A11" s="7" t="inlineStr">
        <is>
          <t>Current debt payoff</t>
        </is>
      </c>
      <c r="B11" s="15">
        <f>INDEX(Plans!$F$5:$F$7,MATCH(Inputs!$B$10,Plans!$A$5:$A$7,0))</f>
        <v/>
      </c>
    </row>
    <row r="12">
      <c r="A12" s="7" t="inlineStr">
        <is>
          <t>Capital required</t>
        </is>
      </c>
      <c r="B12" s="15">
        <f>INDEX(Plans!$G$5:$G$7,MATCH(Inputs!$B$10,Plans!$A$5:$A$7,0))</f>
        <v/>
      </c>
    </row>
    <row r="13">
      <c r="A13" s="7" t="inlineStr">
        <is>
          <t>Current FI assets</t>
        </is>
      </c>
      <c r="B13" s="15">
        <f>INDEX(Plans!$R$5:$R$7,MATCH(Inputs!$B$10,Plans!$A$5:$A$7,0))</f>
        <v/>
      </c>
    </row>
    <row r="14">
      <c r="A14" s="7" t="inlineStr">
        <is>
          <t>Accessible bridge reserve</t>
        </is>
      </c>
      <c r="B14" s="15">
        <f>INDEX(Plans!$O$5:$O$7,MATCH(Inputs!$B$10,Plans!$A$5:$A$7,0))</f>
        <v/>
      </c>
    </row>
    <row r="15">
      <c r="A15" s="7" t="inlineStr">
        <is>
          <t>Accessible bridge + debt threshold</t>
        </is>
      </c>
      <c r="B15" s="15">
        <f>INDEX(Plans!$P$5:$P$7,MATCH(Inputs!$B$10,Plans!$A$5:$A$7,0))</f>
        <v/>
      </c>
    </row>
    <row r="16">
      <c r="A16" s="7" t="inlineStr">
        <is>
          <t>External monthly contribution</t>
        </is>
      </c>
      <c r="B16" s="15">
        <f>INDEX(Plans!$Q$5:$Q$7,MATCH(Inputs!$B$10,Plans!$A$5:$A$7,0))</f>
        <v/>
      </c>
    </row>
    <row r="17">
      <c r="A17" s="7" t="inlineStr">
        <is>
          <t>Projected FI month</t>
        </is>
      </c>
      <c r="B17" s="24">
        <f>IFERROR(EDATE(TODAY(),MATCH("FI reached",Projection!$I$16:$I$736,0)-1),"")</f>
        <v/>
      </c>
    </row>
    <row r="18">
      <c r="A18" s="7" t="inlineStr">
        <is>
          <t>Model status</t>
        </is>
      </c>
      <c r="B18" s="22">
        <f>IFERROR(IF(MATCH("FI reached",Projection!$I$16:$I$736,0)&gt;0,"FI and bridge reached","Not reached in 60 years"),"Not reached in 60 years")</f>
        <v/>
      </c>
    </row>
    <row r="21" ht="21" customHeight="1">
      <c r="A21" s="3" t="inlineStr">
        <is>
          <t>Interpretation</t>
        </is>
      </c>
    </row>
    <row r="22" ht="33" customHeight="1">
      <c r="A22" s="6" t="inlineStr">
        <is>
          <t>• Capital required combines sustainable lifestyle capital and all current debt. It is expressed in today’s dollars because the projections use real returns.</t>
        </is>
      </c>
    </row>
    <row r="23" ht="33" customHeight="1">
      <c r="A23" s="6" t="inlineStr">
        <is>
          <t>• The bridge test is separate: accessible assets must fund spending before super access and still provide the debt payoff. Super/SMSF is not treated as available before the selected access age.</t>
        </is>
      </c>
    </row>
    <row r="24" ht="33" customHeight="1">
      <c r="A24" s="6" t="inlineStr">
        <is>
          <t>• The projection uses the displayed monthly income and spending only. It does not include tax, CGT, property-sale costs, vacancy, loan principal repayments or other costs unless you enter them.</t>
        </is>
      </c>
    </row>
    <row r="25" ht="33" customHeight="1">
      <c r="A25" s="6" t="inlineStr">
        <is>
          <t>• The default 20% ETF return is an optimistic input, not a forecast. Test lower assumptions and higher spending/debt costs before relying on a date.</t>
        </is>
      </c>
    </row>
  </sheetData>
  <mergeCells count="9">
    <mergeCell ref="A4:H4"/>
    <mergeCell ref="A21:H21"/>
    <mergeCell ref="A25:H25"/>
    <mergeCell ref="A24:H24"/>
    <mergeCell ref="A2:H2"/>
    <mergeCell ref="A5:B5"/>
    <mergeCell ref="A1:H1"/>
    <mergeCell ref="A23:H23"/>
    <mergeCell ref="A22:H22"/>
  </mergeCells>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2026-08-06T04:11:42Z</dcterms:created>
  <dcterms:modified xsi:type="dcterms:W3CDTF">2026-08-06T04:11:43Z</dcterms:modified>
</cp:coreProperties>
</file>